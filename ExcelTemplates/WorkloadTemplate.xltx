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ALAL-\OneDrive\Рабочий стол\бб\Программа\CafedralDB-master\ExcelTemplates\"/>
    </mc:Choice>
  </mc:AlternateContent>
  <xr:revisionPtr revIDLastSave="0" documentId="13_ncr:1_{4D31AC2F-42B8-419F-A298-3468E5839A52}" xr6:coauthVersionLast="37" xr6:coauthVersionMax="37" xr10:uidLastSave="{00000000-0000-0000-0000-000000000000}"/>
  <bookViews>
    <workbookView xWindow="0" yWindow="180" windowWidth="15312" windowHeight="5388" tabRatio="938" firstSheet="11" activeTab="17" xr2:uid="{00000000-000D-0000-FFFF-FFFF00000000}"/>
  </bookViews>
  <sheets>
    <sheet name="Ставки-часы" sheetId="7" r:id="rId1"/>
    <sheet name="Вакансия_Бак" sheetId="83" r:id="rId2"/>
    <sheet name="Вакансия_Маг" sheetId="88" r:id="rId3"/>
    <sheet name="ФИТ" sheetId="4" r:id="rId4"/>
    <sheet name="ЗФ" sheetId="5" r:id="rId5"/>
    <sheet name="МСФ" sheetId="66" r:id="rId6"/>
    <sheet name="Магистры" sheetId="9" r:id="rId7"/>
    <sheet name="Магистры_ПИН" sheetId="75" r:id="rId8"/>
    <sheet name="Калабин А.Л." sheetId="78" r:id="rId9"/>
    <sheet name="Биллиг В.А." sheetId="13" r:id="rId10"/>
    <sheet name="Мальков А.А." sheetId="71" r:id="rId11"/>
    <sheet name="Артемов И.Ю." sheetId="73" r:id="rId12"/>
    <sheet name="Котлинский С.В." sheetId="80" r:id="rId13"/>
    <sheet name="Прохныч А.Н." sheetId="79" r:id="rId14"/>
    <sheet name="Югов И.О." sheetId="81" r:id="rId15"/>
    <sheet name="Корнеева Е.И." sheetId="85" r:id="rId16"/>
    <sheet name="Пиджакова Л.М" sheetId="82" r:id="rId17"/>
    <sheet name="Желтов С.А." sheetId="90" r:id="rId18"/>
    <sheet name="Боброва Е.И." sheetId="86" r:id="rId19"/>
    <sheet name="Контингент" sheetId="3" r:id="rId20"/>
    <sheet name="НЕТ соответствия" sheetId="84" r:id="rId21"/>
    <sheet name="Слова" sheetId="67" r:id="rId22"/>
  </sheets>
  <definedNames>
    <definedName name="_xlnm._FilterDatabase" localSheetId="11" hidden="1">'Артемов И.Ю.'!$D$3:$F$5</definedName>
    <definedName name="_xlnm._FilterDatabase" localSheetId="9" hidden="1">'Биллиг В.А.'!$D$3:$F$5</definedName>
    <definedName name="_xlnm._FilterDatabase" localSheetId="1" hidden="1">Вакансия_Бак!$BF$4:$BF$5</definedName>
    <definedName name="_xlnm._FilterDatabase" localSheetId="2" hidden="1">Вакансия_Маг!$BF$4:$BF$5</definedName>
    <definedName name="_xlnm._FilterDatabase" localSheetId="17" hidden="1">'Желтов С.А.'!$BF$4:$BF$5</definedName>
    <definedName name="_xlnm._FilterDatabase" localSheetId="4" hidden="1">ЗФ!$BG$4:$BJ$15</definedName>
    <definedName name="_xlnm._FilterDatabase" localSheetId="8" hidden="1">'Калабин А.Л.'!$A$1:$BI$18</definedName>
    <definedName name="_xlnm._FilterDatabase" localSheetId="12" hidden="1">'Котлинский С.В.'!$D$3:$F$5</definedName>
    <definedName name="_xlnm._FilterDatabase" localSheetId="6" hidden="1">Магистры!$BG$4:$BI$5</definedName>
    <definedName name="_xlnm._FilterDatabase" localSheetId="7" hidden="1">Магистры_ПИН!$BG$4:$BN$35</definedName>
    <definedName name="_xlnm._FilterDatabase" localSheetId="10" hidden="1">'Мальков А.А.'!$A$1:$BG$20</definedName>
    <definedName name="_xlnm._FilterDatabase" localSheetId="5" hidden="1">МСФ!$BG$4:$BH$16</definedName>
    <definedName name="_xlnm._FilterDatabase" localSheetId="16" hidden="1">'Пиджакова Л.М'!$BF$4:$BF$5</definedName>
    <definedName name="_xlnm._FilterDatabase" localSheetId="13" hidden="1">'Прохныч А.Н.'!$D$3:$F$8</definedName>
    <definedName name="_xlnm._FilterDatabase" localSheetId="3" hidden="1">ФИТ!$BI$4:$BR$62</definedName>
    <definedName name="_xlnm._FilterDatabase" localSheetId="14" hidden="1">'Югов И.О.'!$BF$4:$BF$5</definedName>
  </definedNames>
  <calcPr calcId="179021"/>
</workbook>
</file>

<file path=xl/calcChain.xml><?xml version="1.0" encoding="utf-8"?>
<calcChain xmlns="http://schemas.openxmlformats.org/spreadsheetml/2006/main">
  <c r="AT28" i="90" l="1"/>
  <c r="AP28" i="90"/>
  <c r="AO28" i="90"/>
  <c r="AM28" i="90"/>
  <c r="AL28" i="90"/>
  <c r="AJ28" i="90"/>
  <c r="AI28" i="90"/>
  <c r="AH28" i="90"/>
  <c r="AT27" i="90"/>
  <c r="AP27" i="90"/>
  <c r="AO27" i="90"/>
  <c r="AM27" i="90"/>
  <c r="AL27" i="90"/>
  <c r="AJ27" i="90"/>
  <c r="AI27" i="90"/>
  <c r="AH27" i="90"/>
  <c r="AK27" i="90" s="1"/>
  <c r="AT26" i="90"/>
  <c r="AP26" i="90"/>
  <c r="AO26" i="90"/>
  <c r="BF26" i="90" s="1"/>
  <c r="AM26" i="90"/>
  <c r="AL26" i="90"/>
  <c r="AK26" i="90"/>
  <c r="AJ26" i="90"/>
  <c r="AI26" i="90"/>
  <c r="AH26" i="90"/>
  <c r="AT25" i="90"/>
  <c r="AP25" i="90"/>
  <c r="AO25" i="90"/>
  <c r="AM25" i="90"/>
  <c r="AL25" i="90"/>
  <c r="AJ25" i="90"/>
  <c r="AI25" i="90"/>
  <c r="AH25" i="90"/>
  <c r="AK25" i="90" s="1"/>
  <c r="AT24" i="90"/>
  <c r="AP24" i="90"/>
  <c r="AO24" i="90"/>
  <c r="AM24" i="90"/>
  <c r="AL24" i="90"/>
  <c r="AK24" i="90"/>
  <c r="AJ24" i="90"/>
  <c r="AI24" i="90"/>
  <c r="AH24" i="90"/>
  <c r="BF24" i="90" s="1"/>
  <c r="AT23" i="90"/>
  <c r="AP23" i="90"/>
  <c r="AO23" i="90"/>
  <c r="AM23" i="90"/>
  <c r="AL23" i="90"/>
  <c r="AJ23" i="90"/>
  <c r="AI23" i="90"/>
  <c r="AH23" i="90"/>
  <c r="AT22" i="90"/>
  <c r="AP22" i="90"/>
  <c r="AO22" i="90"/>
  <c r="AM22" i="90"/>
  <c r="AL22" i="90"/>
  <c r="AK22" i="90"/>
  <c r="AJ22" i="90"/>
  <c r="AI22" i="90"/>
  <c r="AH22" i="90"/>
  <c r="BF22" i="90" s="1"/>
  <c r="AT21" i="90"/>
  <c r="AP21" i="90"/>
  <c r="AO21" i="90"/>
  <c r="AM21" i="90"/>
  <c r="AL21" i="90"/>
  <c r="AJ21" i="90"/>
  <c r="AI21" i="90"/>
  <c r="AH21" i="90"/>
  <c r="AK21" i="90" s="1"/>
  <c r="BF21" i="90" s="1"/>
  <c r="BO21" i="90" s="1"/>
  <c r="AT20" i="90"/>
  <c r="AP20" i="90"/>
  <c r="AO20" i="90"/>
  <c r="AM20" i="90"/>
  <c r="AL20" i="90"/>
  <c r="AJ20" i="90"/>
  <c r="AI20" i="90"/>
  <c r="AH20" i="90"/>
  <c r="AK20" i="90" s="1"/>
  <c r="AT19" i="90"/>
  <c r="AP19" i="90"/>
  <c r="AO19" i="90"/>
  <c r="AM19" i="90"/>
  <c r="AL19" i="90"/>
  <c r="AK19" i="90"/>
  <c r="AJ19" i="90"/>
  <c r="AI19" i="90"/>
  <c r="BF19" i="90" s="1"/>
  <c r="AH19" i="90"/>
  <c r="AT18" i="90"/>
  <c r="AP18" i="90"/>
  <c r="AO18" i="90"/>
  <c r="AM18" i="90"/>
  <c r="AL18" i="90"/>
  <c r="AK18" i="90"/>
  <c r="AJ18" i="90"/>
  <c r="AI18" i="90"/>
  <c r="AH18" i="90"/>
  <c r="BF18" i="90" s="1"/>
  <c r="AT17" i="90"/>
  <c r="AP17" i="90"/>
  <c r="AO17" i="90"/>
  <c r="AM17" i="90"/>
  <c r="AL17" i="90"/>
  <c r="AK17" i="90"/>
  <c r="AJ17" i="90"/>
  <c r="AI17" i="90"/>
  <c r="BF17" i="90" s="1"/>
  <c r="AH17" i="90"/>
  <c r="AT16" i="90"/>
  <c r="AP16" i="90"/>
  <c r="AO16" i="90"/>
  <c r="AM16" i="90"/>
  <c r="AL16" i="90"/>
  <c r="AJ16" i="90"/>
  <c r="AI16" i="90"/>
  <c r="AH16" i="90"/>
  <c r="AT15" i="90"/>
  <c r="AP15" i="90"/>
  <c r="AO15" i="90"/>
  <c r="AM15" i="90"/>
  <c r="AL15" i="90"/>
  <c r="AJ15" i="90"/>
  <c r="AI15" i="90"/>
  <c r="AH15" i="90"/>
  <c r="AK15" i="90" s="1"/>
  <c r="BF15" i="90" s="1"/>
  <c r="AT14" i="90"/>
  <c r="AP14" i="90"/>
  <c r="AO14" i="90"/>
  <c r="AM14" i="90"/>
  <c r="AL14" i="90"/>
  <c r="AJ14" i="90"/>
  <c r="AI14" i="90"/>
  <c r="AH14" i="90"/>
  <c r="AK14" i="90" s="1"/>
  <c r="BF14" i="90" s="1"/>
  <c r="AT13" i="90"/>
  <c r="AP13" i="90"/>
  <c r="AO13" i="90"/>
  <c r="AM13" i="90"/>
  <c r="AL13" i="90"/>
  <c r="AK13" i="90"/>
  <c r="AJ13" i="90"/>
  <c r="AI13" i="90"/>
  <c r="BF13" i="90" s="1"/>
  <c r="AH13" i="90"/>
  <c r="AT12" i="90"/>
  <c r="AP12" i="90"/>
  <c r="AO12" i="90"/>
  <c r="AM12" i="90"/>
  <c r="AL12" i="90"/>
  <c r="AK12" i="90"/>
  <c r="AJ12" i="90"/>
  <c r="AI12" i="90"/>
  <c r="AH12" i="90"/>
  <c r="BF12" i="90" s="1"/>
  <c r="AT11" i="90"/>
  <c r="AP11" i="90"/>
  <c r="AO11" i="90"/>
  <c r="AM11" i="90"/>
  <c r="AL11" i="90"/>
  <c r="AK11" i="90"/>
  <c r="AJ11" i="90"/>
  <c r="AI11" i="90"/>
  <c r="BF11" i="90" s="1"/>
  <c r="AH11" i="90"/>
  <c r="AT10" i="90"/>
  <c r="AP10" i="90"/>
  <c r="AO10" i="90"/>
  <c r="AM10" i="90"/>
  <c r="AL10" i="90"/>
  <c r="AJ10" i="90"/>
  <c r="AI10" i="90"/>
  <c r="AH10" i="90"/>
  <c r="AT9" i="90"/>
  <c r="AP9" i="90"/>
  <c r="AO9" i="90"/>
  <c r="AM9" i="90"/>
  <c r="AL9" i="90"/>
  <c r="AJ9" i="90"/>
  <c r="AI9" i="90"/>
  <c r="AH9" i="90"/>
  <c r="AK9" i="90" s="1"/>
  <c r="BF9" i="90" s="1"/>
  <c r="AT8" i="90"/>
  <c r="AP8" i="90"/>
  <c r="AO8" i="90"/>
  <c r="AM8" i="90"/>
  <c r="AL8" i="90"/>
  <c r="AK8" i="90"/>
  <c r="BF8" i="90" s="1"/>
  <c r="AJ8" i="90"/>
  <c r="AI8" i="90"/>
  <c r="AH8" i="90"/>
  <c r="AT7" i="90"/>
  <c r="AP7" i="90"/>
  <c r="AO7" i="90"/>
  <c r="AM7" i="90"/>
  <c r="AL7" i="90"/>
  <c r="AK7" i="90"/>
  <c r="AJ7" i="90"/>
  <c r="AI7" i="90"/>
  <c r="BF7" i="90" s="1"/>
  <c r="AH7" i="90"/>
  <c r="AT6" i="90"/>
  <c r="AP6" i="90"/>
  <c r="AO6" i="90"/>
  <c r="AM6" i="90"/>
  <c r="AL6" i="90"/>
  <c r="AK6" i="90"/>
  <c r="AJ6" i="90"/>
  <c r="AI6" i="90"/>
  <c r="AH6" i="90"/>
  <c r="BF6" i="90" s="1"/>
  <c r="BO21" i="81"/>
  <c r="BF25" i="90" l="1"/>
  <c r="BF27" i="90"/>
  <c r="BF20" i="90"/>
  <c r="AK23" i="90"/>
  <c r="BF23" i="90" s="1"/>
  <c r="AK10" i="90"/>
  <c r="BF10" i="90" s="1"/>
  <c r="AK16" i="90"/>
  <c r="BF16" i="90" s="1"/>
  <c r="AK28" i="90"/>
  <c r="BF28" i="90" s="1"/>
  <c r="BF5" i="90" l="1"/>
  <c r="AI7" i="78"/>
  <c r="AI8" i="78"/>
  <c r="AI9" i="78"/>
  <c r="AI10" i="78"/>
  <c r="AI11" i="78"/>
  <c r="AI12" i="78"/>
  <c r="AI13" i="78"/>
  <c r="AI14" i="78"/>
  <c r="AI15" i="78"/>
  <c r="AI16" i="78"/>
  <c r="AI17" i="78"/>
  <c r="AI18" i="78"/>
  <c r="AI19" i="78"/>
  <c r="AI20" i="78"/>
  <c r="AI21" i="78"/>
  <c r="AI22" i="78"/>
  <c r="AI23" i="78"/>
  <c r="AI24" i="78"/>
  <c r="AI25" i="78"/>
  <c r="AI26" i="78"/>
  <c r="AI27" i="78"/>
  <c r="AI28" i="78"/>
  <c r="AI6" i="78"/>
  <c r="AI7" i="13"/>
  <c r="AI8" i="13"/>
  <c r="AI9" i="13"/>
  <c r="AI10" i="13"/>
  <c r="AI11" i="13"/>
  <c r="AI12" i="13"/>
  <c r="AI13" i="13"/>
  <c r="AI14" i="13"/>
  <c r="AI15" i="13"/>
  <c r="AI16" i="13"/>
  <c r="AI17" i="13"/>
  <c r="AI18" i="13"/>
  <c r="AI19" i="13"/>
  <c r="AI20" i="13"/>
  <c r="AI21" i="13"/>
  <c r="AI22" i="13"/>
  <c r="AI23" i="13"/>
  <c r="AI24" i="13"/>
  <c r="AI25" i="13"/>
  <c r="AI26" i="13"/>
  <c r="AI27" i="13"/>
  <c r="AI28" i="13"/>
  <c r="AI29" i="13"/>
  <c r="AI30" i="13"/>
  <c r="AI31" i="13"/>
  <c r="AI32" i="13"/>
  <c r="AI33" i="13"/>
  <c r="AI6" i="13"/>
  <c r="AI7" i="71"/>
  <c r="AI8" i="71"/>
  <c r="AI9" i="71"/>
  <c r="AI10" i="71"/>
  <c r="AI11" i="71"/>
  <c r="AI12" i="71"/>
  <c r="AI13" i="71"/>
  <c r="AI14" i="71"/>
  <c r="AI15" i="71"/>
  <c r="AI16" i="71"/>
  <c r="AI17" i="71"/>
  <c r="AI18" i="71"/>
  <c r="AI19" i="71"/>
  <c r="AI20" i="71"/>
  <c r="AI21" i="71"/>
  <c r="AI22" i="71"/>
  <c r="AI23" i="71"/>
  <c r="AI24" i="71"/>
  <c r="AI25" i="71"/>
  <c r="AI26" i="71"/>
  <c r="AI27" i="71"/>
  <c r="AI28" i="71"/>
  <c r="AI6" i="71"/>
  <c r="AI7" i="73"/>
  <c r="AI8" i="73"/>
  <c r="AI9" i="73"/>
  <c r="AI10" i="73"/>
  <c r="AI11" i="73"/>
  <c r="AI12" i="73"/>
  <c r="AI13" i="73"/>
  <c r="AI14" i="73"/>
  <c r="AI15" i="73"/>
  <c r="AI16" i="73"/>
  <c r="AI17" i="73"/>
  <c r="AI18" i="73"/>
  <c r="AI19" i="73"/>
  <c r="AI20" i="73"/>
  <c r="AI21" i="73"/>
  <c r="AI22" i="73"/>
  <c r="AI23" i="73"/>
  <c r="AI24" i="73"/>
  <c r="AI25" i="73"/>
  <c r="AI26" i="73"/>
  <c r="AI27" i="73"/>
  <c r="AI28" i="73"/>
  <c r="AI6" i="73"/>
  <c r="AI7" i="80"/>
  <c r="AI8" i="80"/>
  <c r="AI9" i="80"/>
  <c r="AI10" i="80"/>
  <c r="AI11" i="80"/>
  <c r="AI12" i="80"/>
  <c r="AI13" i="80"/>
  <c r="AI14" i="80"/>
  <c r="AI15" i="80"/>
  <c r="AI16" i="80"/>
  <c r="AI17" i="80"/>
  <c r="AI18" i="80"/>
  <c r="AI19" i="80"/>
  <c r="AI20" i="80"/>
  <c r="AI21" i="80"/>
  <c r="AI22" i="80"/>
  <c r="AI23" i="80"/>
  <c r="AI24" i="80"/>
  <c r="AI25" i="80"/>
  <c r="AI26" i="80"/>
  <c r="AI27" i="80"/>
  <c r="AI28" i="80"/>
  <c r="AI6" i="80"/>
  <c r="AI7" i="79"/>
  <c r="AI8" i="79"/>
  <c r="AI9" i="79"/>
  <c r="AI10" i="79"/>
  <c r="AI11" i="79"/>
  <c r="AI12" i="79"/>
  <c r="AI13" i="79"/>
  <c r="AI14" i="79"/>
  <c r="AI15" i="79"/>
  <c r="AI16" i="79"/>
  <c r="AI17" i="79"/>
  <c r="AI18" i="79"/>
  <c r="AI19" i="79"/>
  <c r="AI20" i="79"/>
  <c r="AI21" i="79"/>
  <c r="AI22" i="79"/>
  <c r="AI23" i="79"/>
  <c r="AI24" i="79"/>
  <c r="AI25" i="79"/>
  <c r="AI26" i="79"/>
  <c r="AI27" i="79"/>
  <c r="AI28" i="79"/>
  <c r="AI6" i="79"/>
  <c r="AI7" i="81"/>
  <c r="AI8" i="81"/>
  <c r="AI9" i="81"/>
  <c r="AI10" i="81"/>
  <c r="AI11" i="81"/>
  <c r="AI12" i="81"/>
  <c r="AI13" i="81"/>
  <c r="AI14" i="81"/>
  <c r="AI15" i="81"/>
  <c r="AI16" i="81"/>
  <c r="AI17" i="81"/>
  <c r="AI18" i="81"/>
  <c r="AI19" i="81"/>
  <c r="AI20" i="81"/>
  <c r="AI21" i="81"/>
  <c r="AI22" i="81"/>
  <c r="AI23" i="81"/>
  <c r="AI24" i="81"/>
  <c r="AI25" i="81"/>
  <c r="AI26" i="81"/>
  <c r="AI27" i="81"/>
  <c r="AI28" i="81"/>
  <c r="AI6" i="81"/>
  <c r="AI28" i="85"/>
  <c r="AI7" i="85"/>
  <c r="AI8" i="85"/>
  <c r="AI9" i="85"/>
  <c r="AI10" i="85"/>
  <c r="AI11" i="85"/>
  <c r="AI12" i="85"/>
  <c r="AI13" i="85"/>
  <c r="AI14" i="85"/>
  <c r="AI15" i="85"/>
  <c r="AI16" i="85"/>
  <c r="AI17" i="85"/>
  <c r="AI18" i="85"/>
  <c r="AI19" i="85"/>
  <c r="AI20" i="85"/>
  <c r="AI21" i="85"/>
  <c r="AI22" i="85"/>
  <c r="AI23" i="85"/>
  <c r="AI24" i="85"/>
  <c r="AI25" i="85"/>
  <c r="AI26" i="85"/>
  <c r="AI27" i="85"/>
  <c r="AI6" i="85"/>
  <c r="AJ7" i="85" l="1"/>
  <c r="AJ8" i="85"/>
  <c r="AJ9" i="85"/>
  <c r="AJ10" i="85"/>
  <c r="AJ11" i="85"/>
  <c r="AJ12" i="85"/>
  <c r="AJ13" i="85"/>
  <c r="AJ14" i="85"/>
  <c r="AJ15" i="85"/>
  <c r="AJ16" i="85"/>
  <c r="AJ17" i="85"/>
  <c r="AJ18" i="85"/>
  <c r="AJ19" i="85"/>
  <c r="AJ20" i="85"/>
  <c r="AJ21" i="85"/>
  <c r="AJ22" i="85"/>
  <c r="AJ23" i="85"/>
  <c r="AJ24" i="85"/>
  <c r="AJ25" i="85"/>
  <c r="AJ26" i="85"/>
  <c r="AJ27" i="85"/>
  <c r="AJ28" i="85"/>
  <c r="AJ6" i="85"/>
  <c r="AJ7" i="81"/>
  <c r="AJ8" i="81"/>
  <c r="AJ9" i="81"/>
  <c r="AJ10" i="81"/>
  <c r="AJ11" i="81"/>
  <c r="AJ12" i="81"/>
  <c r="AJ13" i="81"/>
  <c r="AJ14" i="81"/>
  <c r="AJ15" i="81"/>
  <c r="AJ16" i="81"/>
  <c r="AJ17" i="81"/>
  <c r="AJ18" i="81"/>
  <c r="AJ19" i="81"/>
  <c r="AJ20" i="81"/>
  <c r="AJ21" i="81"/>
  <c r="AJ22" i="81"/>
  <c r="AJ23" i="81"/>
  <c r="AJ24" i="81"/>
  <c r="AJ25" i="81"/>
  <c r="AJ26" i="81"/>
  <c r="AJ27" i="81"/>
  <c r="AJ28" i="81"/>
  <c r="AJ6" i="81"/>
  <c r="AJ7" i="79"/>
  <c r="AJ8" i="79"/>
  <c r="AJ9" i="79"/>
  <c r="AJ10" i="79"/>
  <c r="AJ11" i="79"/>
  <c r="AJ12" i="79"/>
  <c r="AJ13" i="79"/>
  <c r="AJ14" i="79"/>
  <c r="AJ15" i="79"/>
  <c r="AJ16" i="79"/>
  <c r="AJ17" i="79"/>
  <c r="AJ18" i="79"/>
  <c r="AJ19" i="79"/>
  <c r="AJ20" i="79"/>
  <c r="AJ21" i="79"/>
  <c r="AJ22" i="79"/>
  <c r="AJ23" i="79"/>
  <c r="AJ24" i="79"/>
  <c r="AJ25" i="79"/>
  <c r="AJ26" i="79"/>
  <c r="AJ27" i="79"/>
  <c r="AJ28" i="79"/>
  <c r="AJ6" i="79"/>
  <c r="AJ7" i="80"/>
  <c r="AJ8" i="80"/>
  <c r="AJ9" i="80"/>
  <c r="AJ10" i="80"/>
  <c r="AJ11" i="80"/>
  <c r="AJ12" i="80"/>
  <c r="AJ13" i="80"/>
  <c r="AJ14" i="80"/>
  <c r="AJ15" i="80"/>
  <c r="AJ16" i="80"/>
  <c r="AJ17" i="80"/>
  <c r="AJ18" i="80"/>
  <c r="AJ19" i="80"/>
  <c r="AJ20" i="80"/>
  <c r="AJ21" i="80"/>
  <c r="AJ22" i="80"/>
  <c r="AJ23" i="80"/>
  <c r="AJ24" i="80"/>
  <c r="AJ25" i="80"/>
  <c r="AJ26" i="80"/>
  <c r="AJ27" i="80"/>
  <c r="AJ28" i="80"/>
  <c r="AJ6" i="80"/>
  <c r="AJ7" i="73"/>
  <c r="AJ8" i="73"/>
  <c r="AJ9" i="73"/>
  <c r="AJ10" i="73"/>
  <c r="AJ11" i="73"/>
  <c r="AJ12" i="73"/>
  <c r="AJ13" i="73"/>
  <c r="AJ14" i="73"/>
  <c r="AJ15" i="73"/>
  <c r="AJ16" i="73"/>
  <c r="AJ17" i="73"/>
  <c r="AJ18" i="73"/>
  <c r="AJ19" i="73"/>
  <c r="AJ20" i="73"/>
  <c r="AJ21" i="73"/>
  <c r="AJ22" i="73"/>
  <c r="AJ23" i="73"/>
  <c r="AJ24" i="73"/>
  <c r="AJ25" i="73"/>
  <c r="AJ26" i="73"/>
  <c r="AJ27" i="73"/>
  <c r="AJ28" i="73"/>
  <c r="AJ6" i="73"/>
  <c r="AJ6" i="71"/>
  <c r="AJ7" i="71"/>
  <c r="AJ8" i="71"/>
  <c r="AJ9" i="71"/>
  <c r="AJ10" i="71"/>
  <c r="AJ11" i="71"/>
  <c r="AJ12" i="71"/>
  <c r="AJ13" i="71"/>
  <c r="AJ14" i="71"/>
  <c r="AJ15" i="71"/>
  <c r="AJ16" i="71"/>
  <c r="AJ17" i="71"/>
  <c r="AJ18" i="71"/>
  <c r="AJ19" i="71"/>
  <c r="AJ20" i="71"/>
  <c r="AJ21" i="71"/>
  <c r="AJ22" i="71"/>
  <c r="AJ23" i="71"/>
  <c r="AJ24" i="71"/>
  <c r="AJ25" i="71"/>
  <c r="AJ26" i="71"/>
  <c r="AJ27" i="71"/>
  <c r="AJ28" i="71"/>
  <c r="AJ7" i="13"/>
  <c r="AJ8" i="13"/>
  <c r="AJ9" i="13"/>
  <c r="AJ10" i="13"/>
  <c r="AJ11" i="13"/>
  <c r="AJ12" i="13"/>
  <c r="AJ13" i="13"/>
  <c r="AJ14" i="13"/>
  <c r="AJ15" i="13"/>
  <c r="AJ16" i="13"/>
  <c r="AJ17" i="13"/>
  <c r="AJ18" i="13"/>
  <c r="AJ19" i="13"/>
  <c r="AJ20" i="13"/>
  <c r="AJ21" i="13"/>
  <c r="AJ22" i="13"/>
  <c r="AJ23" i="13"/>
  <c r="AJ24" i="13"/>
  <c r="AJ25" i="13"/>
  <c r="AJ26" i="13"/>
  <c r="AJ27" i="13"/>
  <c r="AJ28" i="13"/>
  <c r="AJ29" i="13"/>
  <c r="AJ30" i="13"/>
  <c r="AJ31" i="13"/>
  <c r="AJ32" i="13"/>
  <c r="AJ33" i="13"/>
  <c r="AJ6" i="13"/>
  <c r="AJ28" i="78"/>
  <c r="AJ7" i="78"/>
  <c r="AJ8" i="78"/>
  <c r="AJ9" i="78"/>
  <c r="AJ10" i="78"/>
  <c r="AJ11" i="78"/>
  <c r="AJ12" i="78"/>
  <c r="AJ13" i="78"/>
  <c r="AJ14" i="78"/>
  <c r="AJ15" i="78"/>
  <c r="AJ16" i="78"/>
  <c r="AJ17" i="78"/>
  <c r="AJ18" i="78"/>
  <c r="AJ19" i="78"/>
  <c r="AJ20" i="78"/>
  <c r="AJ21" i="78"/>
  <c r="AJ22" i="78"/>
  <c r="AJ23" i="78"/>
  <c r="AJ24" i="78"/>
  <c r="AJ25" i="78"/>
  <c r="AJ26" i="78"/>
  <c r="AJ27" i="78"/>
  <c r="AJ6" i="78"/>
  <c r="BF7" i="66" l="1"/>
  <c r="BF8" i="66"/>
  <c r="BF9" i="66"/>
  <c r="BF10" i="66"/>
  <c r="BF11" i="66"/>
  <c r="BF12" i="66"/>
  <c r="BF13" i="66"/>
  <c r="BF14" i="66"/>
  <c r="BF15" i="66"/>
  <c r="BF16" i="66"/>
  <c r="AL6" i="73" l="1"/>
  <c r="AL6" i="13"/>
  <c r="AL7" i="13"/>
  <c r="AL8" i="13"/>
  <c r="AL9" i="13"/>
  <c r="AL10" i="13"/>
  <c r="AL11" i="13"/>
  <c r="AL12" i="13"/>
  <c r="AL13" i="13"/>
  <c r="AL14" i="13"/>
  <c r="AL15" i="13"/>
  <c r="AL16" i="13"/>
  <c r="AL17" i="13"/>
  <c r="AL18" i="13"/>
  <c r="AL19" i="13"/>
  <c r="AL20" i="13"/>
  <c r="AL21" i="13"/>
  <c r="AL22" i="13"/>
  <c r="AL23" i="13"/>
  <c r="AL24" i="13"/>
  <c r="AL25" i="13"/>
  <c r="AL26" i="13"/>
  <c r="AL27" i="13"/>
  <c r="AL28" i="13"/>
  <c r="AL29" i="13"/>
  <c r="AL30" i="13"/>
  <c r="AL31" i="13"/>
  <c r="AL32" i="13"/>
  <c r="AL33" i="13"/>
  <c r="AK7" i="9"/>
  <c r="AK8" i="9"/>
  <c r="AK9" i="9"/>
  <c r="AK10" i="9"/>
  <c r="AK11" i="9"/>
  <c r="AK12" i="9"/>
  <c r="AK13" i="9"/>
  <c r="AK14" i="9"/>
  <c r="AK15" i="9"/>
  <c r="AK16" i="9"/>
  <c r="AK17" i="9"/>
  <c r="AK18" i="9"/>
  <c r="AK6" i="9"/>
  <c r="AL7" i="82" l="1"/>
  <c r="AL8" i="82"/>
  <c r="AL9" i="82"/>
  <c r="AL10" i="82"/>
  <c r="AL11" i="82"/>
  <c r="AL12" i="82"/>
  <c r="AL13" i="82"/>
  <c r="AL14" i="82"/>
  <c r="AL15" i="82"/>
  <c r="AL16" i="82"/>
  <c r="AL17" i="82"/>
  <c r="AL18" i="82"/>
  <c r="AL19" i="82"/>
  <c r="AL6" i="82"/>
  <c r="AL7" i="85"/>
  <c r="AL8" i="85"/>
  <c r="AL9" i="85"/>
  <c r="AL10" i="85"/>
  <c r="AL11" i="85"/>
  <c r="AL12" i="85"/>
  <c r="AL13" i="85"/>
  <c r="AL14" i="85"/>
  <c r="AL15" i="85"/>
  <c r="AL16" i="85"/>
  <c r="AL17" i="85"/>
  <c r="AL18" i="85"/>
  <c r="AL19" i="85"/>
  <c r="AL20" i="85"/>
  <c r="AL21" i="85"/>
  <c r="AL22" i="85"/>
  <c r="AL23" i="85"/>
  <c r="AL24" i="85"/>
  <c r="AL25" i="85"/>
  <c r="AL26" i="85"/>
  <c r="AL27" i="85"/>
  <c r="AL28" i="85"/>
  <c r="AL6" i="85"/>
  <c r="AL7" i="81"/>
  <c r="AL8" i="81"/>
  <c r="AL9" i="81"/>
  <c r="AL10" i="81"/>
  <c r="AL11" i="81"/>
  <c r="AL12" i="81"/>
  <c r="AL13" i="81"/>
  <c r="AL14" i="81"/>
  <c r="AL15" i="81"/>
  <c r="AL16" i="81"/>
  <c r="AL17" i="81"/>
  <c r="AL18" i="81"/>
  <c r="AL19" i="81"/>
  <c r="AL20" i="81"/>
  <c r="AL21" i="81"/>
  <c r="AL22" i="81"/>
  <c r="AL23" i="81"/>
  <c r="AL24" i="81"/>
  <c r="AL25" i="81"/>
  <c r="AL26" i="81"/>
  <c r="AL27" i="81"/>
  <c r="AL28" i="81"/>
  <c r="AL6" i="81"/>
  <c r="AL7" i="79"/>
  <c r="AL8" i="79"/>
  <c r="AL9" i="79"/>
  <c r="AL10" i="79"/>
  <c r="AL11" i="79"/>
  <c r="AL12" i="79"/>
  <c r="AL13" i="79"/>
  <c r="AL14" i="79"/>
  <c r="AL15" i="79"/>
  <c r="AL16" i="79"/>
  <c r="AL17" i="79"/>
  <c r="AL18" i="79"/>
  <c r="AL19" i="79"/>
  <c r="AL20" i="79"/>
  <c r="AL21" i="79"/>
  <c r="AL22" i="79"/>
  <c r="AL23" i="79"/>
  <c r="AL24" i="79"/>
  <c r="AL25" i="79"/>
  <c r="AL26" i="79"/>
  <c r="AL27" i="79"/>
  <c r="AL28" i="79"/>
  <c r="AL6" i="79"/>
  <c r="AL7" i="80"/>
  <c r="AL8" i="80"/>
  <c r="AL9" i="80"/>
  <c r="AL10" i="80"/>
  <c r="AL11" i="80"/>
  <c r="AL12" i="80"/>
  <c r="AL13" i="80"/>
  <c r="AL14" i="80"/>
  <c r="AL15" i="80"/>
  <c r="AL16" i="80"/>
  <c r="AL17" i="80"/>
  <c r="AL18" i="80"/>
  <c r="AL19" i="80"/>
  <c r="AL20" i="80"/>
  <c r="AL21" i="80"/>
  <c r="AL22" i="80"/>
  <c r="AL23" i="80"/>
  <c r="AL24" i="80"/>
  <c r="AL25" i="80"/>
  <c r="AL26" i="80"/>
  <c r="AL27" i="80"/>
  <c r="AL28" i="80"/>
  <c r="AL6" i="80"/>
  <c r="AL7" i="73"/>
  <c r="AL8" i="73"/>
  <c r="AL9" i="73"/>
  <c r="AL10" i="73"/>
  <c r="AL11" i="73"/>
  <c r="AL12" i="73"/>
  <c r="AL13" i="73"/>
  <c r="AL14" i="73"/>
  <c r="AL15" i="73"/>
  <c r="AL16" i="73"/>
  <c r="AL17" i="73"/>
  <c r="AL18" i="73"/>
  <c r="AL19" i="73"/>
  <c r="AL20" i="73"/>
  <c r="AL21" i="73"/>
  <c r="AL22" i="73"/>
  <c r="AL23" i="73"/>
  <c r="AL24" i="73"/>
  <c r="AL25" i="73"/>
  <c r="AL26" i="73"/>
  <c r="AL27" i="73"/>
  <c r="AL28" i="73"/>
  <c r="AL7" i="71"/>
  <c r="AL8" i="71"/>
  <c r="AL9" i="71"/>
  <c r="AL10" i="71"/>
  <c r="AL11" i="71"/>
  <c r="AL12" i="71"/>
  <c r="AL13" i="71"/>
  <c r="AL14" i="71"/>
  <c r="AL15" i="71"/>
  <c r="AL16" i="71"/>
  <c r="AL17" i="71"/>
  <c r="AL18" i="71"/>
  <c r="AL19" i="71"/>
  <c r="AL20" i="71"/>
  <c r="AL21" i="71"/>
  <c r="AL22" i="71"/>
  <c r="AL23" i="71"/>
  <c r="AL24" i="71"/>
  <c r="AL25" i="71"/>
  <c r="AL26" i="71"/>
  <c r="AL27" i="71"/>
  <c r="AL28" i="71"/>
  <c r="AL6" i="71"/>
  <c r="AL7" i="78"/>
  <c r="AL8" i="78"/>
  <c r="AL9" i="78"/>
  <c r="AL10" i="78"/>
  <c r="AL11" i="78"/>
  <c r="AL12" i="78"/>
  <c r="AL13" i="78"/>
  <c r="AL14" i="78"/>
  <c r="AL15" i="78"/>
  <c r="AL16" i="78"/>
  <c r="AL17" i="78"/>
  <c r="AL18" i="78"/>
  <c r="AL19" i="78"/>
  <c r="AL20" i="78"/>
  <c r="AL21" i="78"/>
  <c r="AL22" i="78"/>
  <c r="AL23" i="78"/>
  <c r="AL24" i="78"/>
  <c r="AL25" i="78"/>
  <c r="AL26" i="78"/>
  <c r="AL27" i="78"/>
  <c r="AL28" i="78"/>
  <c r="AL6" i="78"/>
  <c r="AL7" i="75"/>
  <c r="AL8" i="75"/>
  <c r="AL9" i="75"/>
  <c r="AL10" i="75"/>
  <c r="AL11" i="75"/>
  <c r="AL12" i="75"/>
  <c r="AL13" i="75"/>
  <c r="AL14" i="75"/>
  <c r="AL15" i="75"/>
  <c r="AL16" i="75"/>
  <c r="AL17" i="75"/>
  <c r="AL18" i="75"/>
  <c r="AL19" i="75"/>
  <c r="AL20" i="75"/>
  <c r="AL21" i="75"/>
  <c r="AL22" i="75"/>
  <c r="AL23" i="75"/>
  <c r="AL24" i="75"/>
  <c r="AL25" i="75"/>
  <c r="AL26" i="75"/>
  <c r="AL27" i="75"/>
  <c r="AL28" i="75"/>
  <c r="AL29" i="75"/>
  <c r="AL30" i="75"/>
  <c r="AL31" i="75"/>
  <c r="AL32" i="75"/>
  <c r="AL33" i="75"/>
  <c r="AL34" i="75"/>
  <c r="AL6" i="75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51" i="4"/>
  <c r="AL52" i="4"/>
  <c r="AL53" i="4"/>
  <c r="AL54" i="4"/>
  <c r="AL55" i="4"/>
  <c r="AL56" i="4"/>
  <c r="AL57" i="4"/>
  <c r="AL58" i="4"/>
  <c r="AL59" i="4"/>
  <c r="AL60" i="4"/>
  <c r="AL48" i="88"/>
  <c r="AL7" i="83"/>
  <c r="AL8" i="83"/>
  <c r="AL9" i="83"/>
  <c r="AL10" i="83"/>
  <c r="AL11" i="83"/>
  <c r="AL12" i="83"/>
  <c r="AL13" i="83"/>
  <c r="AL14" i="83"/>
  <c r="AL15" i="83"/>
  <c r="AL16" i="83"/>
  <c r="AL17" i="83"/>
  <c r="AL18" i="83"/>
  <c r="AL19" i="83"/>
  <c r="AL20" i="83"/>
  <c r="AL21" i="83"/>
  <c r="AL22" i="83"/>
  <c r="AL23" i="83"/>
  <c r="AL24" i="83"/>
  <c r="AL25" i="83"/>
  <c r="AL26" i="83"/>
  <c r="AL27" i="83"/>
  <c r="AL28" i="83"/>
  <c r="AL29" i="83"/>
  <c r="AL30" i="83"/>
  <c r="AL31" i="83"/>
  <c r="AL32" i="83"/>
  <c r="AL33" i="83"/>
  <c r="AL34" i="83"/>
  <c r="AL35" i="83"/>
  <c r="AL36" i="83"/>
  <c r="AL37" i="83"/>
  <c r="AL38" i="83"/>
  <c r="AL39" i="83"/>
  <c r="AL40" i="83"/>
  <c r="AL41" i="83"/>
  <c r="AL42" i="83"/>
  <c r="AL43" i="83"/>
  <c r="AL44" i="83"/>
  <c r="AL45" i="83"/>
  <c r="AL46" i="83"/>
  <c r="AL47" i="83"/>
  <c r="AL48" i="83"/>
  <c r="AL49" i="83"/>
  <c r="AL50" i="83"/>
  <c r="AL51" i="83"/>
  <c r="AL6" i="83"/>
  <c r="AT51" i="88" l="1"/>
  <c r="AP51" i="88"/>
  <c r="AO51" i="88"/>
  <c r="AM51" i="88"/>
  <c r="AL51" i="88"/>
  <c r="AK51" i="88"/>
  <c r="AJ51" i="88"/>
  <c r="AI51" i="88"/>
  <c r="AH51" i="88"/>
  <c r="AT50" i="88"/>
  <c r="AP50" i="88"/>
  <c r="AO50" i="88"/>
  <c r="AM50" i="88"/>
  <c r="AL50" i="88"/>
  <c r="AK50" i="88"/>
  <c r="AJ50" i="88"/>
  <c r="AI50" i="88"/>
  <c r="AH50" i="88"/>
  <c r="AT49" i="88"/>
  <c r="AP49" i="88"/>
  <c r="AO49" i="88"/>
  <c r="AM49" i="88"/>
  <c r="AL49" i="88"/>
  <c r="AK49" i="88"/>
  <c r="AJ49" i="88"/>
  <c r="AI49" i="88"/>
  <c r="AH49" i="88"/>
  <c r="AT48" i="88"/>
  <c r="AP48" i="88"/>
  <c r="AO48" i="88"/>
  <c r="AM48" i="88"/>
  <c r="AK48" i="88"/>
  <c r="AJ48" i="88"/>
  <c r="AI48" i="88"/>
  <c r="AH48" i="88"/>
  <c r="AT47" i="88"/>
  <c r="AP47" i="88"/>
  <c r="AO47" i="88"/>
  <c r="AM47" i="88"/>
  <c r="AK47" i="88"/>
  <c r="AJ47" i="88"/>
  <c r="AI47" i="88"/>
  <c r="AL47" i="88" s="1"/>
  <c r="AH47" i="88"/>
  <c r="AT46" i="88"/>
  <c r="AP46" i="88"/>
  <c r="AO46" i="88"/>
  <c r="AM46" i="88"/>
  <c r="AK46" i="88"/>
  <c r="AJ46" i="88"/>
  <c r="AI46" i="88"/>
  <c r="AH46" i="88"/>
  <c r="AT45" i="88"/>
  <c r="AP45" i="88"/>
  <c r="AO45" i="88"/>
  <c r="AM45" i="88"/>
  <c r="AK45" i="88"/>
  <c r="AJ45" i="88"/>
  <c r="AI45" i="88"/>
  <c r="AL45" i="88" s="1"/>
  <c r="AH45" i="88"/>
  <c r="AT44" i="88"/>
  <c r="AP44" i="88"/>
  <c r="AO44" i="88"/>
  <c r="AM44" i="88"/>
  <c r="AK44" i="88"/>
  <c r="AJ44" i="88"/>
  <c r="AI44" i="88"/>
  <c r="AH44" i="88"/>
  <c r="AT43" i="88"/>
  <c r="AP43" i="88"/>
  <c r="AO43" i="88"/>
  <c r="AM43" i="88"/>
  <c r="AK43" i="88"/>
  <c r="AJ43" i="88"/>
  <c r="AI43" i="88"/>
  <c r="AL43" i="88" s="1"/>
  <c r="AH43" i="88"/>
  <c r="AT42" i="88"/>
  <c r="AP42" i="88"/>
  <c r="AO42" i="88"/>
  <c r="AM42" i="88"/>
  <c r="AK42" i="88"/>
  <c r="AJ42" i="88"/>
  <c r="AI42" i="88"/>
  <c r="AH42" i="88"/>
  <c r="AT41" i="88"/>
  <c r="AP41" i="88"/>
  <c r="AO41" i="88"/>
  <c r="AM41" i="88"/>
  <c r="AK41" i="88"/>
  <c r="AJ41" i="88"/>
  <c r="AI41" i="88"/>
  <c r="AL41" i="88" s="1"/>
  <c r="AH41" i="88"/>
  <c r="AT40" i="88"/>
  <c r="AP40" i="88"/>
  <c r="AO40" i="88"/>
  <c r="AM40" i="88"/>
  <c r="AK40" i="88"/>
  <c r="AJ40" i="88"/>
  <c r="AI40" i="88"/>
  <c r="AH40" i="88"/>
  <c r="AT39" i="88"/>
  <c r="AP39" i="88"/>
  <c r="AO39" i="88"/>
  <c r="AM39" i="88"/>
  <c r="AK39" i="88"/>
  <c r="AJ39" i="88"/>
  <c r="AI39" i="88"/>
  <c r="AL39" i="88" s="1"/>
  <c r="AH39" i="88"/>
  <c r="AT38" i="88"/>
  <c r="AP38" i="88"/>
  <c r="AO38" i="88"/>
  <c r="AM38" i="88"/>
  <c r="AK38" i="88"/>
  <c r="AJ38" i="88"/>
  <c r="AI38" i="88"/>
  <c r="AH38" i="88"/>
  <c r="AT37" i="88"/>
  <c r="AP37" i="88"/>
  <c r="AO37" i="88"/>
  <c r="AM37" i="88"/>
  <c r="AK37" i="88"/>
  <c r="AJ37" i="88"/>
  <c r="AI37" i="88"/>
  <c r="AL37" i="88" s="1"/>
  <c r="AH37" i="88"/>
  <c r="AT36" i="88"/>
  <c r="AP36" i="88"/>
  <c r="AO36" i="88"/>
  <c r="AM36" i="88"/>
  <c r="AK36" i="88"/>
  <c r="AJ36" i="88"/>
  <c r="AI36" i="88"/>
  <c r="AH36" i="88"/>
  <c r="AT35" i="88"/>
  <c r="AP35" i="88"/>
  <c r="AO35" i="88"/>
  <c r="AM35" i="88"/>
  <c r="AK35" i="88"/>
  <c r="AJ35" i="88"/>
  <c r="AI35" i="88"/>
  <c r="AL35" i="88" s="1"/>
  <c r="AH35" i="88"/>
  <c r="AT34" i="88"/>
  <c r="AP34" i="88"/>
  <c r="AO34" i="88"/>
  <c r="AM34" i="88"/>
  <c r="AK34" i="88"/>
  <c r="AJ34" i="88"/>
  <c r="AI34" i="88"/>
  <c r="AH34" i="88"/>
  <c r="AT33" i="88"/>
  <c r="AP33" i="88"/>
  <c r="AO33" i="88"/>
  <c r="AM33" i="88"/>
  <c r="AK33" i="88"/>
  <c r="AJ33" i="88"/>
  <c r="AI33" i="88"/>
  <c r="AL33" i="88" s="1"/>
  <c r="AH33" i="88"/>
  <c r="AT32" i="88"/>
  <c r="AP32" i="88"/>
  <c r="AO32" i="88"/>
  <c r="AM32" i="88"/>
  <c r="AK32" i="88"/>
  <c r="AJ32" i="88"/>
  <c r="AI32" i="88"/>
  <c r="AH32" i="88"/>
  <c r="AT31" i="88"/>
  <c r="AP31" i="88"/>
  <c r="AO31" i="88"/>
  <c r="AM31" i="88"/>
  <c r="AK31" i="88"/>
  <c r="AJ31" i="88"/>
  <c r="AI31" i="88"/>
  <c r="AL31" i="88" s="1"/>
  <c r="AH31" i="88"/>
  <c r="AT30" i="88"/>
  <c r="AP30" i="88"/>
  <c r="AO30" i="88"/>
  <c r="AM30" i="88"/>
  <c r="AK30" i="88"/>
  <c r="AJ30" i="88"/>
  <c r="AI30" i="88"/>
  <c r="AH30" i="88"/>
  <c r="AT29" i="88"/>
  <c r="AP29" i="88"/>
  <c r="AO29" i="88"/>
  <c r="AM29" i="88"/>
  <c r="AK29" i="88"/>
  <c r="AJ29" i="88"/>
  <c r="AI29" i="88"/>
  <c r="AL29" i="88" s="1"/>
  <c r="AH29" i="88"/>
  <c r="AT28" i="88"/>
  <c r="AP28" i="88"/>
  <c r="AO28" i="88"/>
  <c r="AM28" i="88"/>
  <c r="AK28" i="88"/>
  <c r="AJ28" i="88"/>
  <c r="AI28" i="88"/>
  <c r="AH28" i="88"/>
  <c r="AT27" i="88"/>
  <c r="AP27" i="88"/>
  <c r="AO27" i="88"/>
  <c r="AM27" i="88"/>
  <c r="AK27" i="88"/>
  <c r="AJ27" i="88"/>
  <c r="AI27" i="88"/>
  <c r="AL27" i="88" s="1"/>
  <c r="AH27" i="88"/>
  <c r="AT26" i="88"/>
  <c r="AP26" i="88"/>
  <c r="AO26" i="88"/>
  <c r="AM26" i="88"/>
  <c r="AK26" i="88"/>
  <c r="AJ26" i="88"/>
  <c r="AI26" i="88"/>
  <c r="AH26" i="88"/>
  <c r="AT25" i="88"/>
  <c r="AP25" i="88"/>
  <c r="AO25" i="88"/>
  <c r="AM25" i="88"/>
  <c r="AK25" i="88"/>
  <c r="AJ25" i="88"/>
  <c r="AI25" i="88"/>
  <c r="AL25" i="88" s="1"/>
  <c r="AH25" i="88"/>
  <c r="AT24" i="88"/>
  <c r="AP24" i="88"/>
  <c r="AO24" i="88"/>
  <c r="AM24" i="88"/>
  <c r="AK24" i="88"/>
  <c r="AJ24" i="88"/>
  <c r="AI24" i="88"/>
  <c r="AH24" i="88"/>
  <c r="AT23" i="88"/>
  <c r="AP23" i="88"/>
  <c r="AO23" i="88"/>
  <c r="AM23" i="88"/>
  <c r="AK23" i="88"/>
  <c r="AJ23" i="88"/>
  <c r="AI23" i="88"/>
  <c r="AL23" i="88" s="1"/>
  <c r="AH23" i="88"/>
  <c r="AT22" i="88"/>
  <c r="AP22" i="88"/>
  <c r="AO22" i="88"/>
  <c r="AM22" i="88"/>
  <c r="AK22" i="88"/>
  <c r="AJ22" i="88"/>
  <c r="AI22" i="88"/>
  <c r="AH22" i="88"/>
  <c r="AT21" i="88"/>
  <c r="AP21" i="88"/>
  <c r="AO21" i="88"/>
  <c r="AM21" i="88"/>
  <c r="AK21" i="88"/>
  <c r="AJ21" i="88"/>
  <c r="AI21" i="88"/>
  <c r="AL21" i="88" s="1"/>
  <c r="AH21" i="88"/>
  <c r="AT20" i="88"/>
  <c r="AP20" i="88"/>
  <c r="AO20" i="88"/>
  <c r="AM20" i="88"/>
  <c r="AK20" i="88"/>
  <c r="AJ20" i="88"/>
  <c r="AI20" i="88"/>
  <c r="AH20" i="88"/>
  <c r="AT19" i="88"/>
  <c r="AP19" i="88"/>
  <c r="AO19" i="88"/>
  <c r="AM19" i="88"/>
  <c r="AK19" i="88"/>
  <c r="AJ19" i="88"/>
  <c r="AI19" i="88"/>
  <c r="AL19" i="88" s="1"/>
  <c r="AH19" i="88"/>
  <c r="AT18" i="88"/>
  <c r="AP18" i="88"/>
  <c r="AO18" i="88"/>
  <c r="AM18" i="88"/>
  <c r="AK18" i="88"/>
  <c r="AJ18" i="88"/>
  <c r="AI18" i="88"/>
  <c r="AH18" i="88"/>
  <c r="AT17" i="88"/>
  <c r="AP17" i="88"/>
  <c r="AO17" i="88"/>
  <c r="AM17" i="88"/>
  <c r="AK17" i="88"/>
  <c r="AJ17" i="88"/>
  <c r="AI17" i="88"/>
  <c r="AL17" i="88" s="1"/>
  <c r="AH17" i="88"/>
  <c r="AT16" i="88"/>
  <c r="AP16" i="88"/>
  <c r="AO16" i="88"/>
  <c r="AM16" i="88"/>
  <c r="AK16" i="88"/>
  <c r="AJ16" i="88"/>
  <c r="AI16" i="88"/>
  <c r="AH16" i="88"/>
  <c r="AT15" i="88"/>
  <c r="AP15" i="88"/>
  <c r="AO15" i="88"/>
  <c r="AM15" i="88"/>
  <c r="AK15" i="88"/>
  <c r="AJ15" i="88"/>
  <c r="AI15" i="88"/>
  <c r="AL15" i="88" s="1"/>
  <c r="AH15" i="88"/>
  <c r="AT14" i="88"/>
  <c r="AP14" i="88"/>
  <c r="AO14" i="88"/>
  <c r="AM14" i="88"/>
  <c r="AK14" i="88"/>
  <c r="AJ14" i="88"/>
  <c r="AI14" i="88"/>
  <c r="AH14" i="88"/>
  <c r="AT13" i="88"/>
  <c r="AP13" i="88"/>
  <c r="AO13" i="88"/>
  <c r="AM13" i="88"/>
  <c r="AK13" i="88"/>
  <c r="AJ13" i="88"/>
  <c r="AI13" i="88"/>
  <c r="AL13" i="88" s="1"/>
  <c r="AH13" i="88"/>
  <c r="BM12" i="88"/>
  <c r="AT12" i="88"/>
  <c r="AP12" i="88"/>
  <c r="AO12" i="88"/>
  <c r="AM12" i="88"/>
  <c r="AK12" i="88"/>
  <c r="AJ12" i="88"/>
  <c r="AI12" i="88"/>
  <c r="AL12" i="88" s="1"/>
  <c r="AH12" i="88"/>
  <c r="BF12" i="88" s="1"/>
  <c r="AT11" i="88"/>
  <c r="AP11" i="88"/>
  <c r="AO11" i="88"/>
  <c r="AM11" i="88"/>
  <c r="AK11" i="88"/>
  <c r="AJ11" i="88"/>
  <c r="AI11" i="88"/>
  <c r="AL11" i="88" s="1"/>
  <c r="AH11" i="88"/>
  <c r="BF11" i="88" s="1"/>
  <c r="AT10" i="88"/>
  <c r="AP10" i="88"/>
  <c r="AO10" i="88"/>
  <c r="AM10" i="88"/>
  <c r="AK10" i="88"/>
  <c r="AJ10" i="88"/>
  <c r="AI10" i="88"/>
  <c r="AL10" i="88" s="1"/>
  <c r="AH10" i="88"/>
  <c r="AT9" i="88"/>
  <c r="AP9" i="88"/>
  <c r="AO9" i="88"/>
  <c r="AM9" i="88"/>
  <c r="AK9" i="88"/>
  <c r="AJ9" i="88"/>
  <c r="AI9" i="88"/>
  <c r="AL9" i="88" s="1"/>
  <c r="AH9" i="88"/>
  <c r="AT8" i="88"/>
  <c r="AP8" i="88"/>
  <c r="AO8" i="88"/>
  <c r="AM8" i="88"/>
  <c r="AK8" i="88"/>
  <c r="AJ8" i="88"/>
  <c r="AI8" i="88"/>
  <c r="AL8" i="88" s="1"/>
  <c r="AH8" i="88"/>
  <c r="AT7" i="88"/>
  <c r="AP7" i="88"/>
  <c r="AO7" i="88"/>
  <c r="AM7" i="88"/>
  <c r="AK7" i="88"/>
  <c r="AJ7" i="88"/>
  <c r="AI7" i="88"/>
  <c r="AL7" i="88" s="1"/>
  <c r="AH7" i="88"/>
  <c r="AT6" i="88"/>
  <c r="AP6" i="88"/>
  <c r="AO6" i="88"/>
  <c r="AM6" i="88"/>
  <c r="AK6" i="88"/>
  <c r="AJ6" i="88"/>
  <c r="AI6" i="88"/>
  <c r="AL6" i="88" s="1"/>
  <c r="AH6" i="88"/>
  <c r="BF6" i="88" s="1"/>
  <c r="BF7" i="88" l="1"/>
  <c r="BF10" i="88"/>
  <c r="BF9" i="88"/>
  <c r="BF13" i="88"/>
  <c r="BF15" i="88"/>
  <c r="BF17" i="88"/>
  <c r="BF19" i="88"/>
  <c r="BF21" i="88"/>
  <c r="BF23" i="88"/>
  <c r="BF25" i="88"/>
  <c r="BF27" i="88"/>
  <c r="BF29" i="88"/>
  <c r="BF31" i="88"/>
  <c r="BF33" i="88"/>
  <c r="BF35" i="88"/>
  <c r="BF37" i="88"/>
  <c r="BF39" i="88"/>
  <c r="BF41" i="88"/>
  <c r="BF43" i="88"/>
  <c r="BF45" i="88"/>
  <c r="BF47" i="88"/>
  <c r="BF49" i="88"/>
  <c r="BF8" i="88"/>
  <c r="BF14" i="88"/>
  <c r="AL14" i="88"/>
  <c r="AL16" i="88"/>
  <c r="BF16" i="88" s="1"/>
  <c r="AL18" i="88"/>
  <c r="BF18" i="88" s="1"/>
  <c r="AL20" i="88"/>
  <c r="BF20" i="88" s="1"/>
  <c r="AL22" i="88"/>
  <c r="BF22" i="88" s="1"/>
  <c r="AL24" i="88"/>
  <c r="BF24" i="88" s="1"/>
  <c r="BF26" i="88"/>
  <c r="AL26" i="88"/>
  <c r="AL28" i="88"/>
  <c r="BF28" i="88" s="1"/>
  <c r="AL30" i="88"/>
  <c r="BF30" i="88" s="1"/>
  <c r="AL32" i="88"/>
  <c r="BF32" i="88" s="1"/>
  <c r="AL34" i="88"/>
  <c r="BF34" i="88" s="1"/>
  <c r="AL36" i="88"/>
  <c r="BF36" i="88" s="1"/>
  <c r="BF38" i="88"/>
  <c r="AL38" i="88"/>
  <c r="AL40" i="88"/>
  <c r="BF40" i="88" s="1"/>
  <c r="AL42" i="88"/>
  <c r="BF42" i="88" s="1"/>
  <c r="AL44" i="88"/>
  <c r="BF44" i="88" s="1"/>
  <c r="AL46" i="88"/>
  <c r="BF46" i="88" s="1"/>
  <c r="BF48" i="88"/>
  <c r="BF50" i="88"/>
  <c r="BF51" i="88"/>
  <c r="BF5" i="88" l="1"/>
  <c r="AT34" i="75"/>
  <c r="AP34" i="75"/>
  <c r="AO34" i="75"/>
  <c r="AM34" i="75"/>
  <c r="AJ34" i="75"/>
  <c r="AI34" i="75"/>
  <c r="AH34" i="75"/>
  <c r="AT33" i="75"/>
  <c r="AP33" i="75"/>
  <c r="AO33" i="75"/>
  <c r="AM33" i="75"/>
  <c r="AJ33" i="75"/>
  <c r="AI33" i="75"/>
  <c r="AH33" i="75"/>
  <c r="AT32" i="75"/>
  <c r="AP32" i="75"/>
  <c r="AO32" i="75"/>
  <c r="AM32" i="75"/>
  <c r="AJ32" i="75"/>
  <c r="AI32" i="75"/>
  <c r="AH32" i="75"/>
  <c r="AT31" i="75"/>
  <c r="AP31" i="75"/>
  <c r="AO31" i="75"/>
  <c r="AM31" i="75"/>
  <c r="AJ31" i="75"/>
  <c r="AI31" i="75"/>
  <c r="AH31" i="75"/>
  <c r="AT30" i="75"/>
  <c r="AP30" i="75"/>
  <c r="AO30" i="75"/>
  <c r="AM30" i="75"/>
  <c r="AJ30" i="75"/>
  <c r="AI30" i="75"/>
  <c r="AH30" i="75"/>
  <c r="AT29" i="75"/>
  <c r="AP29" i="75"/>
  <c r="AO29" i="75"/>
  <c r="AM29" i="75"/>
  <c r="AJ29" i="75"/>
  <c r="AI29" i="75"/>
  <c r="AH29" i="75"/>
  <c r="AT28" i="75"/>
  <c r="AP28" i="75"/>
  <c r="AO28" i="75"/>
  <c r="AM28" i="75"/>
  <c r="AJ28" i="75"/>
  <c r="AI28" i="75"/>
  <c r="AH28" i="75"/>
  <c r="AT27" i="75"/>
  <c r="AP27" i="75"/>
  <c r="AO27" i="75"/>
  <c r="AM27" i="75"/>
  <c r="AJ27" i="75"/>
  <c r="AI27" i="75"/>
  <c r="AH27" i="75"/>
  <c r="AT26" i="75"/>
  <c r="AP26" i="75"/>
  <c r="AO26" i="75"/>
  <c r="AM26" i="75"/>
  <c r="AJ26" i="75"/>
  <c r="AI26" i="75"/>
  <c r="AH26" i="75"/>
  <c r="AT25" i="75"/>
  <c r="AP25" i="75"/>
  <c r="AO25" i="75"/>
  <c r="AM25" i="75"/>
  <c r="AJ25" i="75"/>
  <c r="AI25" i="75"/>
  <c r="AH25" i="75"/>
  <c r="AT24" i="75"/>
  <c r="AP24" i="75"/>
  <c r="AO24" i="75"/>
  <c r="AM24" i="75"/>
  <c r="AJ24" i="75"/>
  <c r="AI24" i="75"/>
  <c r="AH24" i="75"/>
  <c r="AT23" i="75"/>
  <c r="AP23" i="75"/>
  <c r="AO23" i="75"/>
  <c r="AM23" i="75"/>
  <c r="AJ23" i="75"/>
  <c r="AI23" i="75"/>
  <c r="AH23" i="75"/>
  <c r="AT22" i="75"/>
  <c r="AP22" i="75"/>
  <c r="AO22" i="75"/>
  <c r="AM22" i="75"/>
  <c r="AJ22" i="75"/>
  <c r="AI22" i="75"/>
  <c r="AH22" i="75"/>
  <c r="AT21" i="75"/>
  <c r="AP21" i="75"/>
  <c r="AO21" i="75"/>
  <c r="AM21" i="75"/>
  <c r="AJ21" i="75"/>
  <c r="AI21" i="75"/>
  <c r="AH21" i="75"/>
  <c r="AT20" i="75"/>
  <c r="AP20" i="75"/>
  <c r="AO20" i="75"/>
  <c r="AM20" i="75"/>
  <c r="AJ20" i="75"/>
  <c r="AI20" i="75"/>
  <c r="AH20" i="75"/>
  <c r="AT19" i="75"/>
  <c r="AP19" i="75"/>
  <c r="AO19" i="75"/>
  <c r="AM19" i="75"/>
  <c r="AJ19" i="75"/>
  <c r="AI19" i="75"/>
  <c r="AH19" i="75"/>
  <c r="AT18" i="75"/>
  <c r="AP18" i="75"/>
  <c r="AO18" i="75"/>
  <c r="AM18" i="75"/>
  <c r="AJ18" i="75"/>
  <c r="AI18" i="75"/>
  <c r="AH18" i="75"/>
  <c r="AT17" i="75"/>
  <c r="AP17" i="75"/>
  <c r="AO17" i="75"/>
  <c r="AM17" i="75"/>
  <c r="AJ17" i="75"/>
  <c r="AI17" i="75"/>
  <c r="AH17" i="75"/>
  <c r="AT16" i="75"/>
  <c r="AP16" i="75"/>
  <c r="AO16" i="75"/>
  <c r="AM16" i="75"/>
  <c r="AJ16" i="75"/>
  <c r="AI16" i="75"/>
  <c r="AH16" i="75"/>
  <c r="AT15" i="75"/>
  <c r="AP15" i="75"/>
  <c r="AO15" i="75"/>
  <c r="AM15" i="75"/>
  <c r="AJ15" i="75"/>
  <c r="AI15" i="75"/>
  <c r="AH15" i="75"/>
  <c r="AT14" i="75"/>
  <c r="AP14" i="75"/>
  <c r="AO14" i="75"/>
  <c r="AM14" i="75"/>
  <c r="AJ14" i="75"/>
  <c r="AI14" i="75"/>
  <c r="AH14" i="75"/>
  <c r="AT13" i="75"/>
  <c r="AP13" i="75"/>
  <c r="AO13" i="75"/>
  <c r="AM13" i="75"/>
  <c r="AJ13" i="75"/>
  <c r="AI13" i="75"/>
  <c r="AH13" i="75"/>
  <c r="AT12" i="75"/>
  <c r="AP12" i="75"/>
  <c r="AO12" i="75"/>
  <c r="AM12" i="75"/>
  <c r="AJ12" i="75"/>
  <c r="AI12" i="75"/>
  <c r="AH12" i="75"/>
  <c r="AT11" i="75"/>
  <c r="AP11" i="75"/>
  <c r="AO11" i="75"/>
  <c r="AM11" i="75"/>
  <c r="AJ11" i="75"/>
  <c r="AI11" i="75"/>
  <c r="AH11" i="75"/>
  <c r="AT10" i="75"/>
  <c r="AP10" i="75"/>
  <c r="AO10" i="75"/>
  <c r="AM10" i="75"/>
  <c r="AJ10" i="75"/>
  <c r="AI10" i="75"/>
  <c r="AH10" i="75"/>
  <c r="AT9" i="75"/>
  <c r="AP9" i="75"/>
  <c r="AO9" i="75"/>
  <c r="AM9" i="75"/>
  <c r="AJ9" i="75"/>
  <c r="AI9" i="75"/>
  <c r="AH9" i="75"/>
  <c r="AT8" i="75"/>
  <c r="AP8" i="75"/>
  <c r="AO8" i="75"/>
  <c r="AM8" i="75"/>
  <c r="AJ8" i="75"/>
  <c r="AI8" i="75"/>
  <c r="AH8" i="75"/>
  <c r="AT7" i="75"/>
  <c r="AP7" i="75"/>
  <c r="AO7" i="75"/>
  <c r="AM7" i="75"/>
  <c r="AJ7" i="75"/>
  <c r="AI7" i="75"/>
  <c r="AH7" i="75"/>
  <c r="AT6" i="75"/>
  <c r="AP6" i="75"/>
  <c r="AO6" i="75"/>
  <c r="AM6" i="75"/>
  <c r="AJ6" i="75"/>
  <c r="AI6" i="75"/>
  <c r="AH6" i="75"/>
  <c r="AK7" i="75" l="1"/>
  <c r="BF7" i="75" s="1"/>
  <c r="AK19" i="75"/>
  <c r="BF19" i="75"/>
  <c r="AK31" i="75"/>
  <c r="BF31" i="75" s="1"/>
  <c r="AK6" i="75"/>
  <c r="BF6" i="75" s="1"/>
  <c r="AK10" i="75"/>
  <c r="BF10" i="75" s="1"/>
  <c r="AK14" i="75"/>
  <c r="BF14" i="75"/>
  <c r="AK18" i="75"/>
  <c r="BF18" i="75" s="1"/>
  <c r="AK22" i="75"/>
  <c r="BF22" i="75" s="1"/>
  <c r="AK26" i="75"/>
  <c r="BF26" i="75" s="1"/>
  <c r="AK30" i="75"/>
  <c r="BF30" i="75" s="1"/>
  <c r="AK34" i="75"/>
  <c r="BF34" i="75" s="1"/>
  <c r="AK11" i="75"/>
  <c r="BF11" i="75" s="1"/>
  <c r="AK23" i="75"/>
  <c r="BF23" i="75" s="1"/>
  <c r="AK13" i="75"/>
  <c r="BF13" i="75" s="1"/>
  <c r="AK17" i="75"/>
  <c r="BF17" i="75" s="1"/>
  <c r="AK21" i="75"/>
  <c r="BF21" i="75" s="1"/>
  <c r="AK25" i="75"/>
  <c r="BF25" i="75" s="1"/>
  <c r="AK29" i="75"/>
  <c r="BF29" i="75"/>
  <c r="AK33" i="75"/>
  <c r="BF33" i="75" s="1"/>
  <c r="AK15" i="75"/>
  <c r="BF15" i="75"/>
  <c r="AK27" i="75"/>
  <c r="BF27" i="75" s="1"/>
  <c r="AK9" i="75"/>
  <c r="BF9" i="75"/>
  <c r="AK8" i="75"/>
  <c r="BF8" i="75" s="1"/>
  <c r="AK12" i="75"/>
  <c r="BF12" i="75" s="1"/>
  <c r="AK16" i="75"/>
  <c r="BF16" i="75" s="1"/>
  <c r="AK20" i="75"/>
  <c r="BF20" i="75" s="1"/>
  <c r="AK24" i="75"/>
  <c r="BF24" i="75" s="1"/>
  <c r="AK28" i="75"/>
  <c r="BF28" i="75" s="1"/>
  <c r="AK32" i="75"/>
  <c r="BF32" i="75" s="1"/>
  <c r="AH7" i="83" l="1"/>
  <c r="AK7" i="83" s="1"/>
  <c r="AI7" i="83"/>
  <c r="AJ7" i="83"/>
  <c r="AM7" i="83"/>
  <c r="AO7" i="83"/>
  <c r="AP7" i="83"/>
  <c r="AT7" i="83"/>
  <c r="AH8" i="83"/>
  <c r="AK8" i="83" s="1"/>
  <c r="AI8" i="83"/>
  <c r="AJ8" i="83"/>
  <c r="AM8" i="83"/>
  <c r="AO8" i="83"/>
  <c r="AP8" i="83"/>
  <c r="AT8" i="83"/>
  <c r="AH9" i="83"/>
  <c r="AK9" i="83" s="1"/>
  <c r="AI9" i="83"/>
  <c r="AJ9" i="83"/>
  <c r="AM9" i="83"/>
  <c r="AO9" i="83"/>
  <c r="AP9" i="83"/>
  <c r="AT9" i="83"/>
  <c r="AH10" i="83"/>
  <c r="AI10" i="83"/>
  <c r="AJ10" i="83"/>
  <c r="AM10" i="83"/>
  <c r="AO10" i="83"/>
  <c r="AP10" i="83"/>
  <c r="AT10" i="83"/>
  <c r="AH11" i="83"/>
  <c r="AK11" i="83" s="1"/>
  <c r="AI11" i="83"/>
  <c r="AJ11" i="83"/>
  <c r="AM11" i="83"/>
  <c r="AO11" i="83"/>
  <c r="AP11" i="83"/>
  <c r="AT11" i="83"/>
  <c r="AH12" i="83"/>
  <c r="AK12" i="83" s="1"/>
  <c r="AI12" i="83"/>
  <c r="AJ12" i="83"/>
  <c r="AM12" i="83"/>
  <c r="AO12" i="83"/>
  <c r="AP12" i="83"/>
  <c r="AT12" i="83"/>
  <c r="AH13" i="83"/>
  <c r="AK13" i="83" s="1"/>
  <c r="AI13" i="83"/>
  <c r="AJ13" i="83"/>
  <c r="AM13" i="83"/>
  <c r="AO13" i="83"/>
  <c r="AP13" i="83"/>
  <c r="AT13" i="83"/>
  <c r="AH14" i="83"/>
  <c r="AK14" i="83" s="1"/>
  <c r="AI14" i="83"/>
  <c r="AJ14" i="83"/>
  <c r="AM14" i="83"/>
  <c r="AO14" i="83"/>
  <c r="AP14" i="83"/>
  <c r="AT14" i="83"/>
  <c r="AH15" i="83"/>
  <c r="AK15" i="83" s="1"/>
  <c r="AI15" i="83"/>
  <c r="AJ15" i="83"/>
  <c r="AM15" i="83"/>
  <c r="AO15" i="83"/>
  <c r="AP15" i="83"/>
  <c r="AT15" i="83"/>
  <c r="AH16" i="83"/>
  <c r="AK16" i="83" s="1"/>
  <c r="AI16" i="83"/>
  <c r="AJ16" i="83"/>
  <c r="AM16" i="83"/>
  <c r="AO16" i="83"/>
  <c r="AP16" i="83"/>
  <c r="AT16" i="83"/>
  <c r="AH17" i="83"/>
  <c r="AK17" i="83" s="1"/>
  <c r="AI17" i="83"/>
  <c r="AJ17" i="83"/>
  <c r="AM17" i="83"/>
  <c r="AO17" i="83"/>
  <c r="AP17" i="83"/>
  <c r="AT17" i="83"/>
  <c r="AH18" i="83"/>
  <c r="AI18" i="83"/>
  <c r="AJ18" i="83"/>
  <c r="AM18" i="83"/>
  <c r="AO18" i="83"/>
  <c r="AP18" i="83"/>
  <c r="AT18" i="83"/>
  <c r="AH19" i="83"/>
  <c r="AK19" i="83" s="1"/>
  <c r="AI19" i="83"/>
  <c r="AJ19" i="83"/>
  <c r="AM19" i="83"/>
  <c r="AO19" i="83"/>
  <c r="AP19" i="83"/>
  <c r="AT19" i="83"/>
  <c r="AH20" i="83"/>
  <c r="AK20" i="83" s="1"/>
  <c r="AI20" i="83"/>
  <c r="AJ20" i="83"/>
  <c r="AM20" i="83"/>
  <c r="AO20" i="83"/>
  <c r="AP20" i="83"/>
  <c r="AT20" i="83"/>
  <c r="AH21" i="83"/>
  <c r="AK21" i="83" s="1"/>
  <c r="AI21" i="83"/>
  <c r="AJ21" i="83"/>
  <c r="AM21" i="83"/>
  <c r="AO21" i="83"/>
  <c r="AP21" i="83"/>
  <c r="AT21" i="83"/>
  <c r="AH22" i="83"/>
  <c r="AK22" i="83" s="1"/>
  <c r="AI22" i="83"/>
  <c r="AJ22" i="83"/>
  <c r="AM22" i="83"/>
  <c r="AO22" i="83"/>
  <c r="AP22" i="83"/>
  <c r="AT22" i="83"/>
  <c r="AH23" i="83"/>
  <c r="AK23" i="83" s="1"/>
  <c r="AI23" i="83"/>
  <c r="AJ23" i="83"/>
  <c r="AM23" i="83"/>
  <c r="AO23" i="83"/>
  <c r="AP23" i="83"/>
  <c r="AT23" i="83"/>
  <c r="AH24" i="83"/>
  <c r="AK24" i="83" s="1"/>
  <c r="AI24" i="83"/>
  <c r="AJ24" i="83"/>
  <c r="AM24" i="83"/>
  <c r="AO24" i="83"/>
  <c r="AP24" i="83"/>
  <c r="AT24" i="83"/>
  <c r="AH25" i="83"/>
  <c r="AK25" i="83" s="1"/>
  <c r="AI25" i="83"/>
  <c r="AJ25" i="83"/>
  <c r="AM25" i="83"/>
  <c r="AO25" i="83"/>
  <c r="AP25" i="83"/>
  <c r="AT25" i="83"/>
  <c r="AH26" i="83"/>
  <c r="AI26" i="83"/>
  <c r="AJ26" i="83"/>
  <c r="AM26" i="83"/>
  <c r="AO26" i="83"/>
  <c r="AP26" i="83"/>
  <c r="AT26" i="83"/>
  <c r="AH27" i="83"/>
  <c r="AK27" i="83" s="1"/>
  <c r="AI27" i="83"/>
  <c r="AJ27" i="83"/>
  <c r="AM27" i="83"/>
  <c r="AO27" i="83"/>
  <c r="AP27" i="83"/>
  <c r="AT27" i="83"/>
  <c r="AH28" i="83"/>
  <c r="AK28" i="83" s="1"/>
  <c r="AI28" i="83"/>
  <c r="AJ28" i="83"/>
  <c r="AM28" i="83"/>
  <c r="AO28" i="83"/>
  <c r="AP28" i="83"/>
  <c r="AT28" i="83"/>
  <c r="AH29" i="83"/>
  <c r="AK29" i="83" s="1"/>
  <c r="AI29" i="83"/>
  <c r="AJ29" i="83"/>
  <c r="AM29" i="83"/>
  <c r="AO29" i="83"/>
  <c r="AP29" i="83"/>
  <c r="AT29" i="83"/>
  <c r="AH30" i="83"/>
  <c r="AK30" i="83" s="1"/>
  <c r="AI30" i="83"/>
  <c r="AJ30" i="83"/>
  <c r="AM30" i="83"/>
  <c r="AO30" i="83"/>
  <c r="AP30" i="83"/>
  <c r="AT30" i="83"/>
  <c r="AH31" i="83"/>
  <c r="AK31" i="83" s="1"/>
  <c r="AI31" i="83"/>
  <c r="AJ31" i="83"/>
  <c r="AM31" i="83"/>
  <c r="AO31" i="83"/>
  <c r="AP31" i="83"/>
  <c r="AT31" i="83"/>
  <c r="AH32" i="83"/>
  <c r="AK32" i="83" s="1"/>
  <c r="AI32" i="83"/>
  <c r="AJ32" i="83"/>
  <c r="AM32" i="83"/>
  <c r="AO32" i="83"/>
  <c r="AP32" i="83"/>
  <c r="AT32" i="83"/>
  <c r="AH33" i="83"/>
  <c r="AK33" i="83" s="1"/>
  <c r="AI33" i="83"/>
  <c r="AJ33" i="83"/>
  <c r="AM33" i="83"/>
  <c r="AO33" i="83"/>
  <c r="AP33" i="83"/>
  <c r="AT33" i="83"/>
  <c r="AH34" i="83"/>
  <c r="AI34" i="83"/>
  <c r="AJ34" i="83"/>
  <c r="AM34" i="83"/>
  <c r="AO34" i="83"/>
  <c r="AP34" i="83"/>
  <c r="AT34" i="83"/>
  <c r="AH35" i="83"/>
  <c r="AK35" i="83" s="1"/>
  <c r="AI35" i="83"/>
  <c r="AJ35" i="83"/>
  <c r="AM35" i="83"/>
  <c r="AO35" i="83"/>
  <c r="AP35" i="83"/>
  <c r="AT35" i="83"/>
  <c r="AH36" i="83"/>
  <c r="AK36" i="83" s="1"/>
  <c r="AI36" i="83"/>
  <c r="AJ36" i="83"/>
  <c r="AM36" i="83"/>
  <c r="AO36" i="83"/>
  <c r="AP36" i="83"/>
  <c r="AT36" i="83"/>
  <c r="AH37" i="83"/>
  <c r="AK37" i="83" s="1"/>
  <c r="AI37" i="83"/>
  <c r="AJ37" i="83"/>
  <c r="AM37" i="83"/>
  <c r="AO37" i="83"/>
  <c r="AP37" i="83"/>
  <c r="AT37" i="83"/>
  <c r="AH38" i="83"/>
  <c r="AK38" i="83" s="1"/>
  <c r="AI38" i="83"/>
  <c r="AJ38" i="83"/>
  <c r="AM38" i="83"/>
  <c r="AO38" i="83"/>
  <c r="AP38" i="83"/>
  <c r="AT38" i="83"/>
  <c r="AH39" i="83"/>
  <c r="AK39" i="83" s="1"/>
  <c r="AI39" i="83"/>
  <c r="AJ39" i="83"/>
  <c r="AM39" i="83"/>
  <c r="AO39" i="83"/>
  <c r="AP39" i="83"/>
  <c r="AT39" i="83"/>
  <c r="AH40" i="83"/>
  <c r="AI40" i="83"/>
  <c r="AJ40" i="83"/>
  <c r="AK40" i="83"/>
  <c r="AM40" i="83"/>
  <c r="AO40" i="83"/>
  <c r="AP40" i="83"/>
  <c r="AT40" i="83"/>
  <c r="AH41" i="83"/>
  <c r="AI41" i="83"/>
  <c r="AJ41" i="83"/>
  <c r="AK41" i="83"/>
  <c r="AM41" i="83"/>
  <c r="AO41" i="83"/>
  <c r="AP41" i="83"/>
  <c r="AT41" i="83"/>
  <c r="AH42" i="83"/>
  <c r="AI42" i="83"/>
  <c r="AJ42" i="83"/>
  <c r="AK42" i="83"/>
  <c r="AM42" i="83"/>
  <c r="AO42" i="83"/>
  <c r="AP42" i="83"/>
  <c r="AT42" i="83"/>
  <c r="AH43" i="83"/>
  <c r="AI43" i="83"/>
  <c r="AJ43" i="83"/>
  <c r="AK43" i="83"/>
  <c r="AM43" i="83"/>
  <c r="AO43" i="83"/>
  <c r="AP43" i="83"/>
  <c r="AT43" i="83"/>
  <c r="AH44" i="83"/>
  <c r="AI44" i="83"/>
  <c r="AJ44" i="83"/>
  <c r="AK44" i="83"/>
  <c r="AM44" i="83"/>
  <c r="AO44" i="83"/>
  <c r="AP44" i="83"/>
  <c r="AT44" i="83"/>
  <c r="AH45" i="83"/>
  <c r="AI45" i="83"/>
  <c r="AJ45" i="83"/>
  <c r="AK45" i="83"/>
  <c r="AM45" i="83"/>
  <c r="AO45" i="83"/>
  <c r="AP45" i="83"/>
  <c r="AT45" i="83"/>
  <c r="AH46" i="83"/>
  <c r="AI46" i="83"/>
  <c r="AJ46" i="83"/>
  <c r="AK46" i="83"/>
  <c r="AM46" i="83"/>
  <c r="AO46" i="83"/>
  <c r="AP46" i="83"/>
  <c r="AT46" i="83"/>
  <c r="AH47" i="83"/>
  <c r="AI47" i="83"/>
  <c r="AJ47" i="83"/>
  <c r="AK47" i="83"/>
  <c r="AM47" i="83"/>
  <c r="AO47" i="83"/>
  <c r="AP47" i="83"/>
  <c r="AT47" i="83"/>
  <c r="AH48" i="83"/>
  <c r="AI48" i="83"/>
  <c r="AJ48" i="83"/>
  <c r="AK48" i="83"/>
  <c r="AM48" i="83"/>
  <c r="AO48" i="83"/>
  <c r="AP48" i="83"/>
  <c r="AT48" i="83"/>
  <c r="AH49" i="83"/>
  <c r="AI49" i="83"/>
  <c r="AJ49" i="83"/>
  <c r="AK49" i="83"/>
  <c r="AM49" i="83"/>
  <c r="AO49" i="83"/>
  <c r="AP49" i="83"/>
  <c r="AT49" i="83"/>
  <c r="AH50" i="83"/>
  <c r="AI50" i="83"/>
  <c r="AJ50" i="83"/>
  <c r="AK50" i="83"/>
  <c r="AM50" i="83"/>
  <c r="AO50" i="83"/>
  <c r="AP50" i="83"/>
  <c r="AT50" i="83"/>
  <c r="AH51" i="83"/>
  <c r="AI51" i="83"/>
  <c r="AJ51" i="83"/>
  <c r="AK51" i="83"/>
  <c r="AM51" i="83"/>
  <c r="AO51" i="83"/>
  <c r="AP51" i="83"/>
  <c r="AT51" i="83"/>
  <c r="AT6" i="83"/>
  <c r="AP6" i="83"/>
  <c r="AO6" i="83"/>
  <c r="AM6" i="83"/>
  <c r="AJ6" i="83"/>
  <c r="AI6" i="83"/>
  <c r="AH6" i="83"/>
  <c r="AK6" i="83" s="1"/>
  <c r="BF46" i="83" l="1"/>
  <c r="BF14" i="83"/>
  <c r="BF28" i="83"/>
  <c r="BF40" i="83"/>
  <c r="AK26" i="83"/>
  <c r="BF26" i="83" s="1"/>
  <c r="BF24" i="83"/>
  <c r="BF20" i="83"/>
  <c r="BF19" i="83"/>
  <c r="BF12" i="83"/>
  <c r="BF32" i="83"/>
  <c r="BF48" i="83"/>
  <c r="BF44" i="83"/>
  <c r="BF42" i="83"/>
  <c r="BF38" i="83"/>
  <c r="BF30" i="83"/>
  <c r="AK18" i="83"/>
  <c r="BF18" i="83" s="1"/>
  <c r="BF16" i="83"/>
  <c r="AK10" i="83"/>
  <c r="BF10" i="83" s="1"/>
  <c r="BF8" i="83"/>
  <c r="AK34" i="83"/>
  <c r="BF34" i="83" s="1"/>
  <c r="BF50" i="83"/>
  <c r="BF36" i="83"/>
  <c r="BF35" i="83"/>
  <c r="BF22" i="83"/>
  <c r="BF43" i="83"/>
  <c r="BF27" i="83"/>
  <c r="BF21" i="83"/>
  <c r="BF51" i="83"/>
  <c r="BF11" i="83"/>
  <c r="BF6" i="83"/>
  <c r="BF13" i="83"/>
  <c r="BF47" i="83"/>
  <c r="BF39" i="83"/>
  <c r="BF31" i="83"/>
  <c r="BF23" i="83"/>
  <c r="BF15" i="83"/>
  <c r="BF7" i="83"/>
  <c r="BF45" i="83"/>
  <c r="BF37" i="83"/>
  <c r="BF29" i="83"/>
  <c r="BF49" i="83"/>
  <c r="BF41" i="83"/>
  <c r="BF33" i="83"/>
  <c r="BF25" i="83"/>
  <c r="BF17" i="83"/>
  <c r="BF9" i="83"/>
  <c r="AT20" i="86"/>
  <c r="AP20" i="86"/>
  <c r="AO20" i="86"/>
  <c r="AM20" i="86"/>
  <c r="AL20" i="86"/>
  <c r="AK20" i="86"/>
  <c r="AJ20" i="86"/>
  <c r="AI20" i="86"/>
  <c r="AH20" i="86"/>
  <c r="AT19" i="86"/>
  <c r="AP19" i="86"/>
  <c r="AO19" i="86"/>
  <c r="AM19" i="86"/>
  <c r="AL19" i="86"/>
  <c r="AK19" i="86"/>
  <c r="AJ19" i="86"/>
  <c r="AI19" i="86"/>
  <c r="AH19" i="86"/>
  <c r="AT18" i="86"/>
  <c r="AP18" i="86"/>
  <c r="AO18" i="86"/>
  <c r="AM18" i="86"/>
  <c r="AL18" i="86"/>
  <c r="AK18" i="86"/>
  <c r="AJ18" i="86"/>
  <c r="AI18" i="86"/>
  <c r="AH18" i="86"/>
  <c r="AT17" i="86"/>
  <c r="AP17" i="86"/>
  <c r="AO17" i="86"/>
  <c r="AM17" i="86"/>
  <c r="AL17" i="86"/>
  <c r="AK17" i="86"/>
  <c r="AJ17" i="86"/>
  <c r="AI17" i="86"/>
  <c r="AH17" i="86"/>
  <c r="AT16" i="86"/>
  <c r="AP16" i="86"/>
  <c r="AO16" i="86"/>
  <c r="AM16" i="86"/>
  <c r="AL16" i="86"/>
  <c r="AK16" i="86"/>
  <c r="AJ16" i="86"/>
  <c r="AI16" i="86"/>
  <c r="AH16" i="86"/>
  <c r="AT15" i="86"/>
  <c r="AP15" i="86"/>
  <c r="AO15" i="86"/>
  <c r="AM15" i="86"/>
  <c r="AL15" i="86"/>
  <c r="AK15" i="86"/>
  <c r="AJ15" i="86"/>
  <c r="AI15" i="86"/>
  <c r="AH15" i="86"/>
  <c r="AT14" i="86"/>
  <c r="AP14" i="86"/>
  <c r="AO14" i="86"/>
  <c r="AM14" i="86"/>
  <c r="AL14" i="86"/>
  <c r="AK14" i="86"/>
  <c r="AJ14" i="86"/>
  <c r="AI14" i="86"/>
  <c r="AH14" i="86"/>
  <c r="AT13" i="86"/>
  <c r="AP13" i="86"/>
  <c r="AO13" i="86"/>
  <c r="AM13" i="86"/>
  <c r="AL13" i="86"/>
  <c r="AK13" i="86"/>
  <c r="AJ13" i="86"/>
  <c r="AI13" i="86"/>
  <c r="AH13" i="86"/>
  <c r="AT12" i="86"/>
  <c r="AP12" i="86"/>
  <c r="AO12" i="86"/>
  <c r="AM12" i="86"/>
  <c r="AL12" i="86"/>
  <c r="AK12" i="86"/>
  <c r="AJ12" i="86"/>
  <c r="AI12" i="86"/>
  <c r="AH12" i="86"/>
  <c r="AT11" i="86"/>
  <c r="AP11" i="86"/>
  <c r="AO11" i="86"/>
  <c r="AM11" i="86"/>
  <c r="AL11" i="86"/>
  <c r="AK11" i="86"/>
  <c r="AJ11" i="86"/>
  <c r="AI11" i="86"/>
  <c r="AH11" i="86"/>
  <c r="AT10" i="86"/>
  <c r="AP10" i="86"/>
  <c r="AO10" i="86"/>
  <c r="AM10" i="86"/>
  <c r="AL10" i="86"/>
  <c r="AK10" i="86"/>
  <c r="AJ10" i="86"/>
  <c r="AI10" i="86"/>
  <c r="AH10" i="86"/>
  <c r="AT9" i="86"/>
  <c r="AP9" i="86"/>
  <c r="AO9" i="86"/>
  <c r="AM9" i="86"/>
  <c r="AL9" i="86"/>
  <c r="AK9" i="86"/>
  <c r="AJ9" i="86"/>
  <c r="AI9" i="86"/>
  <c r="AH9" i="86"/>
  <c r="AT8" i="86"/>
  <c r="AP8" i="86"/>
  <c r="AO8" i="86"/>
  <c r="AM8" i="86"/>
  <c r="AL8" i="86"/>
  <c r="AK8" i="86"/>
  <c r="AJ8" i="86"/>
  <c r="AI8" i="86"/>
  <c r="AH8" i="86"/>
  <c r="AT7" i="86"/>
  <c r="AP7" i="86"/>
  <c r="AO7" i="86"/>
  <c r="AM7" i="86"/>
  <c r="AL7" i="86"/>
  <c r="AK7" i="86"/>
  <c r="AJ7" i="86"/>
  <c r="AI7" i="86"/>
  <c r="AH7" i="86"/>
  <c r="AT6" i="86"/>
  <c r="AP6" i="86"/>
  <c r="AO6" i="86"/>
  <c r="AM6" i="86"/>
  <c r="AL6" i="86"/>
  <c r="AK6" i="86"/>
  <c r="AJ6" i="86"/>
  <c r="AI6" i="86"/>
  <c r="AH6" i="86"/>
  <c r="AT19" i="82"/>
  <c r="AP19" i="82"/>
  <c r="AO19" i="82"/>
  <c r="AM19" i="82"/>
  <c r="AK19" i="82"/>
  <c r="AJ19" i="82"/>
  <c r="AI19" i="82"/>
  <c r="AH19" i="82"/>
  <c r="AT18" i="82"/>
  <c r="AP18" i="82"/>
  <c r="AO18" i="82"/>
  <c r="AM18" i="82"/>
  <c r="AK18" i="82"/>
  <c r="AJ18" i="82"/>
  <c r="AI18" i="82"/>
  <c r="AH18" i="82"/>
  <c r="AT17" i="82"/>
  <c r="AP17" i="82"/>
  <c r="AO17" i="82"/>
  <c r="AM17" i="82"/>
  <c r="AK17" i="82"/>
  <c r="AJ17" i="82"/>
  <c r="AI17" i="82"/>
  <c r="AH17" i="82"/>
  <c r="AT16" i="82"/>
  <c r="AP16" i="82"/>
  <c r="AO16" i="82"/>
  <c r="AM16" i="82"/>
  <c r="AK16" i="82"/>
  <c r="AJ16" i="82"/>
  <c r="AI16" i="82"/>
  <c r="AH16" i="82"/>
  <c r="AT15" i="82"/>
  <c r="AP15" i="82"/>
  <c r="AO15" i="82"/>
  <c r="AM15" i="82"/>
  <c r="AK15" i="82"/>
  <c r="AJ15" i="82"/>
  <c r="AI15" i="82"/>
  <c r="AH15" i="82"/>
  <c r="AT14" i="82"/>
  <c r="AP14" i="82"/>
  <c r="AO14" i="82"/>
  <c r="AM14" i="82"/>
  <c r="AK14" i="82"/>
  <c r="AJ14" i="82"/>
  <c r="AI14" i="82"/>
  <c r="AH14" i="82"/>
  <c r="AT13" i="82"/>
  <c r="AP13" i="82"/>
  <c r="AO13" i="82"/>
  <c r="AM13" i="82"/>
  <c r="AK13" i="82"/>
  <c r="AJ13" i="82"/>
  <c r="AI13" i="82"/>
  <c r="AH13" i="82"/>
  <c r="AT12" i="82"/>
  <c r="AP12" i="82"/>
  <c r="AO12" i="82"/>
  <c r="AM12" i="82"/>
  <c r="AK12" i="82"/>
  <c r="AJ12" i="82"/>
  <c r="AI12" i="82"/>
  <c r="AH12" i="82"/>
  <c r="AT11" i="82"/>
  <c r="AP11" i="82"/>
  <c r="AO11" i="82"/>
  <c r="AM11" i="82"/>
  <c r="AK11" i="82"/>
  <c r="AJ11" i="82"/>
  <c r="AI11" i="82"/>
  <c r="AH11" i="82"/>
  <c r="AT10" i="82"/>
  <c r="AP10" i="82"/>
  <c r="AO10" i="82"/>
  <c r="AM10" i="82"/>
  <c r="AK10" i="82"/>
  <c r="AJ10" i="82"/>
  <c r="AI10" i="82"/>
  <c r="AH10" i="82"/>
  <c r="AT9" i="82"/>
  <c r="AP9" i="82"/>
  <c r="AO9" i="82"/>
  <c r="AM9" i="82"/>
  <c r="AK9" i="82"/>
  <c r="AJ9" i="82"/>
  <c r="AI9" i="82"/>
  <c r="AH9" i="82"/>
  <c r="AT8" i="82"/>
  <c r="AP8" i="82"/>
  <c r="AO8" i="82"/>
  <c r="AM8" i="82"/>
  <c r="AK8" i="82"/>
  <c r="AJ8" i="82"/>
  <c r="AI8" i="82"/>
  <c r="AH8" i="82"/>
  <c r="AT7" i="82"/>
  <c r="AP7" i="82"/>
  <c r="AO7" i="82"/>
  <c r="AM7" i="82"/>
  <c r="AK7" i="82"/>
  <c r="AJ7" i="82"/>
  <c r="AI7" i="82"/>
  <c r="AH7" i="82"/>
  <c r="AT6" i="82"/>
  <c r="AP6" i="82"/>
  <c r="AO6" i="82"/>
  <c r="AM6" i="82"/>
  <c r="AK6" i="82"/>
  <c r="AJ6" i="82"/>
  <c r="AI6" i="82"/>
  <c r="AH6" i="82"/>
  <c r="AT28" i="85"/>
  <c r="AP28" i="85"/>
  <c r="AO28" i="85"/>
  <c r="AM28" i="85"/>
  <c r="AK28" i="85"/>
  <c r="AH28" i="85"/>
  <c r="AT27" i="85"/>
  <c r="AP27" i="85"/>
  <c r="AO27" i="85"/>
  <c r="AM27" i="85"/>
  <c r="AK27" i="85"/>
  <c r="AH27" i="85"/>
  <c r="AT26" i="85"/>
  <c r="AP26" i="85"/>
  <c r="AO26" i="85"/>
  <c r="AM26" i="85"/>
  <c r="AK26" i="85"/>
  <c r="AH26" i="85"/>
  <c r="AT25" i="85"/>
  <c r="AP25" i="85"/>
  <c r="AO25" i="85"/>
  <c r="AM25" i="85"/>
  <c r="AK25" i="85"/>
  <c r="AH25" i="85"/>
  <c r="AT24" i="85"/>
  <c r="AP24" i="85"/>
  <c r="AO24" i="85"/>
  <c r="AM24" i="85"/>
  <c r="AK24" i="85"/>
  <c r="AH24" i="85"/>
  <c r="AT23" i="85"/>
  <c r="AP23" i="85"/>
  <c r="AO23" i="85"/>
  <c r="AM23" i="85"/>
  <c r="AK23" i="85"/>
  <c r="AH23" i="85"/>
  <c r="AT22" i="85"/>
  <c r="AP22" i="85"/>
  <c r="AO22" i="85"/>
  <c r="AM22" i="85"/>
  <c r="AK22" i="85"/>
  <c r="AH22" i="85"/>
  <c r="AT21" i="85"/>
  <c r="AP21" i="85"/>
  <c r="AO21" i="85"/>
  <c r="AM21" i="85"/>
  <c r="AK21" i="85"/>
  <c r="AH21" i="85"/>
  <c r="AT20" i="85"/>
  <c r="AP20" i="85"/>
  <c r="AO20" i="85"/>
  <c r="AM20" i="85"/>
  <c r="AK20" i="85"/>
  <c r="AH20" i="85"/>
  <c r="AT19" i="85"/>
  <c r="AP19" i="85"/>
  <c r="AO19" i="85"/>
  <c r="AM19" i="85"/>
  <c r="AK19" i="85"/>
  <c r="AH19" i="85"/>
  <c r="AT18" i="85"/>
  <c r="AP18" i="85"/>
  <c r="AO18" i="85"/>
  <c r="AM18" i="85"/>
  <c r="AK18" i="85"/>
  <c r="AH18" i="85"/>
  <c r="AT17" i="85"/>
  <c r="AP17" i="85"/>
  <c r="AO17" i="85"/>
  <c r="AM17" i="85"/>
  <c r="AK17" i="85"/>
  <c r="AH17" i="85"/>
  <c r="AT16" i="85"/>
  <c r="AP16" i="85"/>
  <c r="AO16" i="85"/>
  <c r="AM16" i="85"/>
  <c r="AK16" i="85"/>
  <c r="AH16" i="85"/>
  <c r="AT15" i="85"/>
  <c r="AP15" i="85"/>
  <c r="AO15" i="85"/>
  <c r="AM15" i="85"/>
  <c r="AK15" i="85"/>
  <c r="AH15" i="85"/>
  <c r="AT14" i="85"/>
  <c r="AP14" i="85"/>
  <c r="AO14" i="85"/>
  <c r="AM14" i="85"/>
  <c r="AK14" i="85"/>
  <c r="AH14" i="85"/>
  <c r="AT13" i="85"/>
  <c r="AP13" i="85"/>
  <c r="AO13" i="85"/>
  <c r="AM13" i="85"/>
  <c r="AK13" i="85"/>
  <c r="AH13" i="85"/>
  <c r="AT12" i="85"/>
  <c r="AP12" i="85"/>
  <c r="AO12" i="85"/>
  <c r="AM12" i="85"/>
  <c r="AK12" i="85"/>
  <c r="AH12" i="85"/>
  <c r="AT11" i="85"/>
  <c r="AP11" i="85"/>
  <c r="AO11" i="85"/>
  <c r="AM11" i="85"/>
  <c r="AK11" i="85"/>
  <c r="AH11" i="85"/>
  <c r="AT10" i="85"/>
  <c r="AP10" i="85"/>
  <c r="AO10" i="85"/>
  <c r="AM10" i="85"/>
  <c r="AK10" i="85"/>
  <c r="AH10" i="85"/>
  <c r="AT9" i="85"/>
  <c r="AP9" i="85"/>
  <c r="AO9" i="85"/>
  <c r="AM9" i="85"/>
  <c r="AK9" i="85"/>
  <c r="AH9" i="85"/>
  <c r="AT8" i="85"/>
  <c r="AP8" i="85"/>
  <c r="AO8" i="85"/>
  <c r="AM8" i="85"/>
  <c r="AK8" i="85"/>
  <c r="AH8" i="85"/>
  <c r="AT7" i="85"/>
  <c r="AP7" i="85"/>
  <c r="AO7" i="85"/>
  <c r="AM7" i="85"/>
  <c r="AK7" i="85"/>
  <c r="AH7" i="85"/>
  <c r="AT6" i="85"/>
  <c r="AP6" i="85"/>
  <c r="AO6" i="85"/>
  <c r="AM6" i="85"/>
  <c r="AK6" i="85"/>
  <c r="AH6" i="85"/>
  <c r="AT28" i="81"/>
  <c r="AP28" i="81"/>
  <c r="AO28" i="81"/>
  <c r="AM28" i="81"/>
  <c r="AH28" i="81"/>
  <c r="AK28" i="81" s="1"/>
  <c r="AT27" i="81"/>
  <c r="AP27" i="81"/>
  <c r="AO27" i="81"/>
  <c r="AM27" i="81"/>
  <c r="AH27" i="81"/>
  <c r="AT26" i="81"/>
  <c r="AP26" i="81"/>
  <c r="AO26" i="81"/>
  <c r="AM26" i="81"/>
  <c r="AH26" i="81"/>
  <c r="AK26" i="81" s="1"/>
  <c r="AT25" i="81"/>
  <c r="AP25" i="81"/>
  <c r="AO25" i="81"/>
  <c r="AM25" i="81"/>
  <c r="AH25" i="81"/>
  <c r="AK25" i="81" s="1"/>
  <c r="AT24" i="81"/>
  <c r="AP24" i="81"/>
  <c r="AO24" i="81"/>
  <c r="AM24" i="81"/>
  <c r="AH24" i="81"/>
  <c r="AK24" i="81" s="1"/>
  <c r="AT23" i="81"/>
  <c r="AP23" i="81"/>
  <c r="AO23" i="81"/>
  <c r="AM23" i="81"/>
  <c r="AH23" i="81"/>
  <c r="AT22" i="81"/>
  <c r="AP22" i="81"/>
  <c r="AO22" i="81"/>
  <c r="AM22" i="81"/>
  <c r="AH22" i="81"/>
  <c r="AK22" i="81" s="1"/>
  <c r="AT21" i="81"/>
  <c r="AP21" i="81"/>
  <c r="AO21" i="81"/>
  <c r="AM21" i="81"/>
  <c r="AH21" i="81"/>
  <c r="AT20" i="81"/>
  <c r="AP20" i="81"/>
  <c r="AO20" i="81"/>
  <c r="AM20" i="81"/>
  <c r="AH20" i="81"/>
  <c r="AK20" i="81" s="1"/>
  <c r="AT19" i="81"/>
  <c r="AP19" i="81"/>
  <c r="AO19" i="81"/>
  <c r="AM19" i="81"/>
  <c r="AH19" i="81"/>
  <c r="AK19" i="81" s="1"/>
  <c r="AT18" i="81"/>
  <c r="AP18" i="81"/>
  <c r="AO18" i="81"/>
  <c r="AM18" i="81"/>
  <c r="AH18" i="81"/>
  <c r="AK18" i="81" s="1"/>
  <c r="AT17" i="81"/>
  <c r="AP17" i="81"/>
  <c r="AO17" i="81"/>
  <c r="AM17" i="81"/>
  <c r="AH17" i="81"/>
  <c r="AT16" i="81"/>
  <c r="AP16" i="81"/>
  <c r="AO16" i="81"/>
  <c r="AM16" i="81"/>
  <c r="AH16" i="81"/>
  <c r="AK16" i="81" s="1"/>
  <c r="AT15" i="81"/>
  <c r="AP15" i="81"/>
  <c r="AO15" i="81"/>
  <c r="AM15" i="81"/>
  <c r="AH15" i="81"/>
  <c r="AK15" i="81" s="1"/>
  <c r="AT14" i="81"/>
  <c r="AP14" i="81"/>
  <c r="AO14" i="81"/>
  <c r="AM14" i="81"/>
  <c r="AH14" i="81"/>
  <c r="AK14" i="81" s="1"/>
  <c r="AT13" i="81"/>
  <c r="AP13" i="81"/>
  <c r="AO13" i="81"/>
  <c r="AM13" i="81"/>
  <c r="AH13" i="81"/>
  <c r="AT12" i="81"/>
  <c r="AP12" i="81"/>
  <c r="AO12" i="81"/>
  <c r="AM12" i="81"/>
  <c r="AH12" i="81"/>
  <c r="AK12" i="81" s="1"/>
  <c r="AT11" i="81"/>
  <c r="AP11" i="81"/>
  <c r="AO11" i="81"/>
  <c r="AM11" i="81"/>
  <c r="AH11" i="81"/>
  <c r="AK11" i="81" s="1"/>
  <c r="AT10" i="81"/>
  <c r="AP10" i="81"/>
  <c r="AO10" i="81"/>
  <c r="AM10" i="81"/>
  <c r="AH10" i="81"/>
  <c r="AK10" i="81" s="1"/>
  <c r="AT9" i="81"/>
  <c r="AP9" i="81"/>
  <c r="AO9" i="81"/>
  <c r="AM9" i="81"/>
  <c r="AH9" i="81"/>
  <c r="AT8" i="81"/>
  <c r="AP8" i="81"/>
  <c r="AO8" i="81"/>
  <c r="AM8" i="81"/>
  <c r="AH8" i="81"/>
  <c r="AK8" i="81" s="1"/>
  <c r="AT7" i="81"/>
  <c r="AP7" i="81"/>
  <c r="AO7" i="81"/>
  <c r="AM7" i="81"/>
  <c r="AH7" i="81"/>
  <c r="AK7" i="81" s="1"/>
  <c r="AT6" i="81"/>
  <c r="AP6" i="81"/>
  <c r="AO6" i="81"/>
  <c r="AM6" i="81"/>
  <c r="AH6" i="81"/>
  <c r="AK6" i="81" s="1"/>
  <c r="AT28" i="79"/>
  <c r="AP28" i="79"/>
  <c r="AO28" i="79"/>
  <c r="AM28" i="79"/>
  <c r="AH28" i="79"/>
  <c r="AK28" i="79" s="1"/>
  <c r="AT27" i="79"/>
  <c r="AP27" i="79"/>
  <c r="AO27" i="79"/>
  <c r="AM27" i="79"/>
  <c r="AH27" i="79"/>
  <c r="AK27" i="79" s="1"/>
  <c r="AT26" i="79"/>
  <c r="AP26" i="79"/>
  <c r="AO26" i="79"/>
  <c r="AM26" i="79"/>
  <c r="AH26" i="79"/>
  <c r="AT25" i="79"/>
  <c r="AP25" i="79"/>
  <c r="AO25" i="79"/>
  <c r="AM25" i="79"/>
  <c r="AH25" i="79"/>
  <c r="AK25" i="79" s="1"/>
  <c r="AT24" i="79"/>
  <c r="AP24" i="79"/>
  <c r="AO24" i="79"/>
  <c r="AM24" i="79"/>
  <c r="AH24" i="79"/>
  <c r="AK24" i="79" s="1"/>
  <c r="AT23" i="79"/>
  <c r="AP23" i="79"/>
  <c r="AO23" i="79"/>
  <c r="AM23" i="79"/>
  <c r="AH23" i="79"/>
  <c r="AK23" i="79" s="1"/>
  <c r="AT22" i="79"/>
  <c r="AP22" i="79"/>
  <c r="AO22" i="79"/>
  <c r="AM22" i="79"/>
  <c r="AH22" i="79"/>
  <c r="AK22" i="79" s="1"/>
  <c r="AT21" i="79"/>
  <c r="AP21" i="79"/>
  <c r="AO21" i="79"/>
  <c r="AM21" i="79"/>
  <c r="AH21" i="79"/>
  <c r="AK21" i="79" s="1"/>
  <c r="AT20" i="79"/>
  <c r="AP20" i="79"/>
  <c r="AO20" i="79"/>
  <c r="AM20" i="79"/>
  <c r="AH20" i="79"/>
  <c r="AK20" i="79" s="1"/>
  <c r="AT19" i="79"/>
  <c r="AP19" i="79"/>
  <c r="AO19" i="79"/>
  <c r="AM19" i="79"/>
  <c r="AH19" i="79"/>
  <c r="AT18" i="79"/>
  <c r="AP18" i="79"/>
  <c r="AO18" i="79"/>
  <c r="AM18" i="79"/>
  <c r="AH18" i="79"/>
  <c r="AK18" i="79" s="1"/>
  <c r="AT17" i="79"/>
  <c r="AP17" i="79"/>
  <c r="AO17" i="79"/>
  <c r="AM17" i="79"/>
  <c r="AH17" i="79"/>
  <c r="AK17" i="79" s="1"/>
  <c r="AT16" i="79"/>
  <c r="AP16" i="79"/>
  <c r="AO16" i="79"/>
  <c r="AM16" i="79"/>
  <c r="AH16" i="79"/>
  <c r="AK16" i="79" s="1"/>
  <c r="AT15" i="79"/>
  <c r="AP15" i="79"/>
  <c r="AO15" i="79"/>
  <c r="AM15" i="79"/>
  <c r="AH15" i="79"/>
  <c r="AT14" i="79"/>
  <c r="AP14" i="79"/>
  <c r="AO14" i="79"/>
  <c r="AM14" i="79"/>
  <c r="AH14" i="79"/>
  <c r="AK14" i="79" s="1"/>
  <c r="AT13" i="79"/>
  <c r="AP13" i="79"/>
  <c r="AO13" i="79"/>
  <c r="AM13" i="79"/>
  <c r="AH13" i="79"/>
  <c r="AK13" i="79" s="1"/>
  <c r="AT12" i="79"/>
  <c r="AP12" i="79"/>
  <c r="AO12" i="79"/>
  <c r="AM12" i="79"/>
  <c r="AH12" i="79"/>
  <c r="AK12" i="79" s="1"/>
  <c r="AT11" i="79"/>
  <c r="AP11" i="79"/>
  <c r="AO11" i="79"/>
  <c r="AM11" i="79"/>
  <c r="AH11" i="79"/>
  <c r="AT10" i="79"/>
  <c r="AP10" i="79"/>
  <c r="AO10" i="79"/>
  <c r="AM10" i="79"/>
  <c r="AH10" i="79"/>
  <c r="AK10" i="79" s="1"/>
  <c r="AT9" i="79"/>
  <c r="AP9" i="79"/>
  <c r="AO9" i="79"/>
  <c r="AM9" i="79"/>
  <c r="AH9" i="79"/>
  <c r="AK9" i="79" s="1"/>
  <c r="AT8" i="79"/>
  <c r="AP8" i="79"/>
  <c r="AO8" i="79"/>
  <c r="AM8" i="79"/>
  <c r="AH8" i="79"/>
  <c r="AK8" i="79" s="1"/>
  <c r="AT7" i="79"/>
  <c r="AP7" i="79"/>
  <c r="AO7" i="79"/>
  <c r="AM7" i="79"/>
  <c r="AH7" i="79"/>
  <c r="AT6" i="79"/>
  <c r="AP6" i="79"/>
  <c r="AO6" i="79"/>
  <c r="AM6" i="79"/>
  <c r="AH6" i="79"/>
  <c r="AK6" i="79" s="1"/>
  <c r="AT28" i="80"/>
  <c r="AP28" i="80"/>
  <c r="AO28" i="80"/>
  <c r="AM28" i="80"/>
  <c r="AH28" i="80"/>
  <c r="AK28" i="80" s="1"/>
  <c r="AT27" i="80"/>
  <c r="AP27" i="80"/>
  <c r="AO27" i="80"/>
  <c r="AM27" i="80"/>
  <c r="AH27" i="80"/>
  <c r="AK27" i="80" s="1"/>
  <c r="AT26" i="80"/>
  <c r="AP26" i="80"/>
  <c r="AO26" i="80"/>
  <c r="AM26" i="80"/>
  <c r="AH26" i="80"/>
  <c r="AK26" i="80" s="1"/>
  <c r="AT25" i="80"/>
  <c r="AP25" i="80"/>
  <c r="AO25" i="80"/>
  <c r="AM25" i="80"/>
  <c r="AH25" i="80"/>
  <c r="AT24" i="80"/>
  <c r="AP24" i="80"/>
  <c r="AO24" i="80"/>
  <c r="AM24" i="80"/>
  <c r="AH24" i="80"/>
  <c r="AK24" i="80" s="1"/>
  <c r="AT23" i="80"/>
  <c r="AP23" i="80"/>
  <c r="AO23" i="80"/>
  <c r="AM23" i="80"/>
  <c r="AH23" i="80"/>
  <c r="AK23" i="80" s="1"/>
  <c r="AT22" i="80"/>
  <c r="AP22" i="80"/>
  <c r="AO22" i="80"/>
  <c r="AM22" i="80"/>
  <c r="AH22" i="80"/>
  <c r="AK22" i="80" s="1"/>
  <c r="AT21" i="80"/>
  <c r="AP21" i="80"/>
  <c r="AO21" i="80"/>
  <c r="AM21" i="80"/>
  <c r="AH21" i="80"/>
  <c r="AK21" i="80" s="1"/>
  <c r="AT20" i="80"/>
  <c r="AP20" i="80"/>
  <c r="AO20" i="80"/>
  <c r="AM20" i="80"/>
  <c r="AH20" i="80"/>
  <c r="AK20" i="80" s="1"/>
  <c r="AT19" i="80"/>
  <c r="AP19" i="80"/>
  <c r="AO19" i="80"/>
  <c r="AM19" i="80"/>
  <c r="AH19" i="80"/>
  <c r="AT18" i="80"/>
  <c r="AP18" i="80"/>
  <c r="AO18" i="80"/>
  <c r="AM18" i="80"/>
  <c r="AH18" i="80"/>
  <c r="AK18" i="80" s="1"/>
  <c r="AT17" i="80"/>
  <c r="AP17" i="80"/>
  <c r="AO17" i="80"/>
  <c r="AM17" i="80"/>
  <c r="AH17" i="80"/>
  <c r="AK17" i="80" s="1"/>
  <c r="AT16" i="80"/>
  <c r="AP16" i="80"/>
  <c r="AO16" i="80"/>
  <c r="AM16" i="80"/>
  <c r="AH16" i="80"/>
  <c r="AK16" i="80" s="1"/>
  <c r="AT15" i="80"/>
  <c r="AP15" i="80"/>
  <c r="AO15" i="80"/>
  <c r="AM15" i="80"/>
  <c r="AH15" i="80"/>
  <c r="AT14" i="80"/>
  <c r="AP14" i="80"/>
  <c r="AO14" i="80"/>
  <c r="AM14" i="80"/>
  <c r="AH14" i="80"/>
  <c r="AK14" i="80" s="1"/>
  <c r="AT13" i="80"/>
  <c r="AP13" i="80"/>
  <c r="AO13" i="80"/>
  <c r="AM13" i="80"/>
  <c r="AH13" i="80"/>
  <c r="AK13" i="80" s="1"/>
  <c r="AT12" i="80"/>
  <c r="AP12" i="80"/>
  <c r="AO12" i="80"/>
  <c r="AM12" i="80"/>
  <c r="AH12" i="80"/>
  <c r="AK12" i="80" s="1"/>
  <c r="AT11" i="80"/>
  <c r="AP11" i="80"/>
  <c r="AO11" i="80"/>
  <c r="AM11" i="80"/>
  <c r="AH11" i="80"/>
  <c r="AT10" i="80"/>
  <c r="AP10" i="80"/>
  <c r="AO10" i="80"/>
  <c r="AM10" i="80"/>
  <c r="AH10" i="80"/>
  <c r="AK10" i="80" s="1"/>
  <c r="AT9" i="80"/>
  <c r="AP9" i="80"/>
  <c r="AO9" i="80"/>
  <c r="AM9" i="80"/>
  <c r="AH9" i="80"/>
  <c r="AK9" i="80" s="1"/>
  <c r="AT8" i="80"/>
  <c r="AP8" i="80"/>
  <c r="AO8" i="80"/>
  <c r="AM8" i="80"/>
  <c r="AH8" i="80"/>
  <c r="AK8" i="80" s="1"/>
  <c r="AT7" i="80"/>
  <c r="AP7" i="80"/>
  <c r="AO7" i="80"/>
  <c r="AM7" i="80"/>
  <c r="AH7" i="80"/>
  <c r="AT6" i="80"/>
  <c r="AP6" i="80"/>
  <c r="AO6" i="80"/>
  <c r="AM6" i="80"/>
  <c r="AH6" i="80"/>
  <c r="AK6" i="80" s="1"/>
  <c r="AT28" i="73"/>
  <c r="AP28" i="73"/>
  <c r="AO28" i="73"/>
  <c r="AM28" i="73"/>
  <c r="AH28" i="73"/>
  <c r="AK28" i="73" s="1"/>
  <c r="AT27" i="73"/>
  <c r="AP27" i="73"/>
  <c r="AO27" i="73"/>
  <c r="AM27" i="73"/>
  <c r="AH27" i="73"/>
  <c r="AK27" i="73" s="1"/>
  <c r="AT26" i="73"/>
  <c r="AP26" i="73"/>
  <c r="AO26" i="73"/>
  <c r="AM26" i="73"/>
  <c r="AH26" i="73"/>
  <c r="AK26" i="73" s="1"/>
  <c r="AT25" i="73"/>
  <c r="AP25" i="73"/>
  <c r="AO25" i="73"/>
  <c r="AM25" i="73"/>
  <c r="AH25" i="73"/>
  <c r="AK25" i="73" s="1"/>
  <c r="AT24" i="73"/>
  <c r="AP24" i="73"/>
  <c r="AO24" i="73"/>
  <c r="AM24" i="73"/>
  <c r="AH24" i="73"/>
  <c r="AK24" i="73" s="1"/>
  <c r="AT23" i="73"/>
  <c r="AP23" i="73"/>
  <c r="AO23" i="73"/>
  <c r="AM23" i="73"/>
  <c r="AH23" i="73"/>
  <c r="AK23" i="73" s="1"/>
  <c r="AT22" i="73"/>
  <c r="AP22" i="73"/>
  <c r="AO22" i="73"/>
  <c r="AM22" i="73"/>
  <c r="AH22" i="73"/>
  <c r="AK22" i="73" s="1"/>
  <c r="AT21" i="73"/>
  <c r="AP21" i="73"/>
  <c r="AO21" i="73"/>
  <c r="AM21" i="73"/>
  <c r="AH21" i="73"/>
  <c r="AT20" i="73"/>
  <c r="AP20" i="73"/>
  <c r="AO20" i="73"/>
  <c r="AM20" i="73"/>
  <c r="AH20" i="73"/>
  <c r="AK20" i="73" s="1"/>
  <c r="AT19" i="73"/>
  <c r="AP19" i="73"/>
  <c r="AO19" i="73"/>
  <c r="AM19" i="73"/>
  <c r="AH19" i="73"/>
  <c r="AK19" i="73" s="1"/>
  <c r="AT18" i="73"/>
  <c r="AP18" i="73"/>
  <c r="AO18" i="73"/>
  <c r="AM18" i="73"/>
  <c r="AH18" i="73"/>
  <c r="AK18" i="73" s="1"/>
  <c r="AT17" i="73"/>
  <c r="AP17" i="73"/>
  <c r="AO17" i="73"/>
  <c r="AM17" i="73"/>
  <c r="AH17" i="73"/>
  <c r="AT16" i="73"/>
  <c r="AP16" i="73"/>
  <c r="AO16" i="73"/>
  <c r="AM16" i="73"/>
  <c r="AH16" i="73"/>
  <c r="AK16" i="73" s="1"/>
  <c r="AT15" i="73"/>
  <c r="AP15" i="73"/>
  <c r="AO15" i="73"/>
  <c r="AM15" i="73"/>
  <c r="AH15" i="73"/>
  <c r="AK15" i="73" s="1"/>
  <c r="AT14" i="73"/>
  <c r="AP14" i="73"/>
  <c r="AO14" i="73"/>
  <c r="AM14" i="73"/>
  <c r="AH14" i="73"/>
  <c r="AK14" i="73" s="1"/>
  <c r="AT13" i="73"/>
  <c r="AP13" i="73"/>
  <c r="AO13" i="73"/>
  <c r="AM13" i="73"/>
  <c r="AH13" i="73"/>
  <c r="AT12" i="73"/>
  <c r="AP12" i="73"/>
  <c r="AO12" i="73"/>
  <c r="AM12" i="73"/>
  <c r="AH12" i="73"/>
  <c r="AK12" i="73" s="1"/>
  <c r="AT11" i="73"/>
  <c r="AP11" i="73"/>
  <c r="AO11" i="73"/>
  <c r="AM11" i="73"/>
  <c r="AH11" i="73"/>
  <c r="AK11" i="73" s="1"/>
  <c r="AT10" i="73"/>
  <c r="AP10" i="73"/>
  <c r="AO10" i="73"/>
  <c r="AM10" i="73"/>
  <c r="AH10" i="73"/>
  <c r="AK10" i="73" s="1"/>
  <c r="AT9" i="73"/>
  <c r="AP9" i="73"/>
  <c r="AO9" i="73"/>
  <c r="AM9" i="73"/>
  <c r="AH9" i="73"/>
  <c r="AT8" i="73"/>
  <c r="AP8" i="73"/>
  <c r="AO8" i="73"/>
  <c r="AM8" i="73"/>
  <c r="AH8" i="73"/>
  <c r="AK8" i="73" s="1"/>
  <c r="AT7" i="73"/>
  <c r="AP7" i="73"/>
  <c r="AO7" i="73"/>
  <c r="AM7" i="73"/>
  <c r="AH7" i="73"/>
  <c r="AK7" i="73" s="1"/>
  <c r="AT6" i="73"/>
  <c r="AP6" i="73"/>
  <c r="AO6" i="73"/>
  <c r="AM6" i="73"/>
  <c r="AH6" i="73"/>
  <c r="AK6" i="73" s="1"/>
  <c r="AT28" i="71"/>
  <c r="AP28" i="71"/>
  <c r="AO28" i="71"/>
  <c r="AM28" i="71"/>
  <c r="AH28" i="71"/>
  <c r="AK28" i="71" s="1"/>
  <c r="AT27" i="71"/>
  <c r="AP27" i="71"/>
  <c r="AO27" i="71"/>
  <c r="AM27" i="71"/>
  <c r="AH27" i="71"/>
  <c r="AK27" i="71" s="1"/>
  <c r="AT26" i="71"/>
  <c r="AP26" i="71"/>
  <c r="AO26" i="71"/>
  <c r="AM26" i="71"/>
  <c r="AH26" i="71"/>
  <c r="AT25" i="71"/>
  <c r="AP25" i="71"/>
  <c r="AO25" i="71"/>
  <c r="AM25" i="71"/>
  <c r="AH25" i="71"/>
  <c r="AK25" i="71" s="1"/>
  <c r="AT24" i="71"/>
  <c r="AP24" i="71"/>
  <c r="AO24" i="71"/>
  <c r="AM24" i="71"/>
  <c r="AH24" i="71"/>
  <c r="AK24" i="71" s="1"/>
  <c r="AT23" i="71"/>
  <c r="AP23" i="71"/>
  <c r="AO23" i="71"/>
  <c r="AM23" i="71"/>
  <c r="AH23" i="71"/>
  <c r="AK23" i="71" s="1"/>
  <c r="AT22" i="71"/>
  <c r="AP22" i="71"/>
  <c r="AO22" i="71"/>
  <c r="AM22" i="71"/>
  <c r="AH22" i="71"/>
  <c r="AT21" i="71"/>
  <c r="AP21" i="71"/>
  <c r="AO21" i="71"/>
  <c r="AM21" i="71"/>
  <c r="AH21" i="71"/>
  <c r="AK21" i="71" s="1"/>
  <c r="AT20" i="71"/>
  <c r="AP20" i="71"/>
  <c r="AO20" i="71"/>
  <c r="AM20" i="71"/>
  <c r="AH20" i="71"/>
  <c r="AT19" i="71"/>
  <c r="AP19" i="71"/>
  <c r="AO19" i="71"/>
  <c r="AM19" i="71"/>
  <c r="AH19" i="71"/>
  <c r="AK19" i="71" s="1"/>
  <c r="AT18" i="71"/>
  <c r="AP18" i="71"/>
  <c r="AO18" i="71"/>
  <c r="AM18" i="71"/>
  <c r="AH18" i="71"/>
  <c r="AK18" i="71" s="1"/>
  <c r="AT17" i="71"/>
  <c r="AP17" i="71"/>
  <c r="AO17" i="71"/>
  <c r="AM17" i="71"/>
  <c r="AH17" i="71"/>
  <c r="AK17" i="71" s="1"/>
  <c r="AT16" i="71"/>
  <c r="AP16" i="71"/>
  <c r="AO16" i="71"/>
  <c r="AM16" i="71"/>
  <c r="AH16" i="71"/>
  <c r="AK16" i="71" s="1"/>
  <c r="AT15" i="71"/>
  <c r="AP15" i="71"/>
  <c r="AO15" i="71"/>
  <c r="AM15" i="71"/>
  <c r="AH15" i="71"/>
  <c r="AK15" i="71" s="1"/>
  <c r="AT14" i="71"/>
  <c r="AP14" i="71"/>
  <c r="AO14" i="71"/>
  <c r="AM14" i="71"/>
  <c r="AH14" i="71"/>
  <c r="AK14" i="71" s="1"/>
  <c r="AT13" i="71"/>
  <c r="AP13" i="71"/>
  <c r="AO13" i="71"/>
  <c r="AM13" i="71"/>
  <c r="AH13" i="71"/>
  <c r="AK13" i="71" s="1"/>
  <c r="AT12" i="71"/>
  <c r="AP12" i="71"/>
  <c r="AO12" i="71"/>
  <c r="AM12" i="71"/>
  <c r="AH12" i="71"/>
  <c r="AT11" i="71"/>
  <c r="AP11" i="71"/>
  <c r="AO11" i="71"/>
  <c r="AM11" i="71"/>
  <c r="AH11" i="71"/>
  <c r="AK11" i="71" s="1"/>
  <c r="AT10" i="71"/>
  <c r="AP10" i="71"/>
  <c r="AO10" i="71"/>
  <c r="AM10" i="71"/>
  <c r="AH10" i="71"/>
  <c r="AK10" i="71" s="1"/>
  <c r="AT9" i="71"/>
  <c r="AP9" i="71"/>
  <c r="AO9" i="71"/>
  <c r="AM9" i="71"/>
  <c r="AH9" i="71"/>
  <c r="AK9" i="71" s="1"/>
  <c r="AT8" i="71"/>
  <c r="AP8" i="71"/>
  <c r="AO8" i="71"/>
  <c r="AM8" i="71"/>
  <c r="AH8" i="71"/>
  <c r="AT7" i="71"/>
  <c r="AP7" i="71"/>
  <c r="AO7" i="71"/>
  <c r="AM7" i="71"/>
  <c r="AH7" i="71"/>
  <c r="AK7" i="71" s="1"/>
  <c r="AT6" i="71"/>
  <c r="AP6" i="71"/>
  <c r="AO6" i="71"/>
  <c r="AM6" i="71"/>
  <c r="AH6" i="71"/>
  <c r="AK6" i="71" s="1"/>
  <c r="AT37" i="13"/>
  <c r="AP37" i="13"/>
  <c r="AO37" i="13"/>
  <c r="AM37" i="13"/>
  <c r="AL37" i="13"/>
  <c r="AK37" i="13"/>
  <c r="AJ37" i="13"/>
  <c r="AI37" i="13"/>
  <c r="AH37" i="13"/>
  <c r="AT36" i="13"/>
  <c r="AP36" i="13"/>
  <c r="AO36" i="13"/>
  <c r="AM36" i="13"/>
  <c r="AL36" i="13"/>
  <c r="AK36" i="13"/>
  <c r="AJ36" i="13"/>
  <c r="AI36" i="13"/>
  <c r="AH36" i="13"/>
  <c r="AT35" i="13"/>
  <c r="AP35" i="13"/>
  <c r="AO35" i="13"/>
  <c r="AM35" i="13"/>
  <c r="AL35" i="13"/>
  <c r="AK35" i="13"/>
  <c r="AJ35" i="13"/>
  <c r="AI35" i="13"/>
  <c r="AH35" i="13"/>
  <c r="AT34" i="13"/>
  <c r="AP34" i="13"/>
  <c r="AO34" i="13"/>
  <c r="AM34" i="13"/>
  <c r="AL34" i="13"/>
  <c r="AK34" i="13"/>
  <c r="AJ34" i="13"/>
  <c r="AI34" i="13"/>
  <c r="AH34" i="13"/>
  <c r="AT33" i="13"/>
  <c r="AP33" i="13"/>
  <c r="AO33" i="13"/>
  <c r="AM33" i="13"/>
  <c r="AH33" i="13"/>
  <c r="AK33" i="13" s="1"/>
  <c r="AT32" i="13"/>
  <c r="AP32" i="13"/>
  <c r="AO32" i="13"/>
  <c r="AM32" i="13"/>
  <c r="AH32" i="13"/>
  <c r="AK32" i="13" s="1"/>
  <c r="AT31" i="13"/>
  <c r="AP31" i="13"/>
  <c r="AO31" i="13"/>
  <c r="AM31" i="13"/>
  <c r="AH31" i="13"/>
  <c r="AK31" i="13" s="1"/>
  <c r="AT30" i="13"/>
  <c r="AP30" i="13"/>
  <c r="AO30" i="13"/>
  <c r="AM30" i="13"/>
  <c r="AH30" i="13"/>
  <c r="AK30" i="13" s="1"/>
  <c r="AT29" i="13"/>
  <c r="AP29" i="13"/>
  <c r="AO29" i="13"/>
  <c r="AM29" i="13"/>
  <c r="AH29" i="13"/>
  <c r="AK29" i="13" s="1"/>
  <c r="AT28" i="13"/>
  <c r="AP28" i="13"/>
  <c r="AO28" i="13"/>
  <c r="AM28" i="13"/>
  <c r="AH28" i="13"/>
  <c r="AT27" i="13"/>
  <c r="AP27" i="13"/>
  <c r="AO27" i="13"/>
  <c r="AM27" i="13"/>
  <c r="AH27" i="13"/>
  <c r="AT26" i="13"/>
  <c r="AP26" i="13"/>
  <c r="AO26" i="13"/>
  <c r="AM26" i="13"/>
  <c r="AH26" i="13"/>
  <c r="AT25" i="13"/>
  <c r="AP25" i="13"/>
  <c r="AO25" i="13"/>
  <c r="AM25" i="13"/>
  <c r="AH25" i="13"/>
  <c r="AT24" i="13"/>
  <c r="AP24" i="13"/>
  <c r="AO24" i="13"/>
  <c r="AM24" i="13"/>
  <c r="AH24" i="13"/>
  <c r="AT23" i="13"/>
  <c r="AP23" i="13"/>
  <c r="AO23" i="13"/>
  <c r="AM23" i="13"/>
  <c r="AH23" i="13"/>
  <c r="AT22" i="13"/>
  <c r="AP22" i="13"/>
  <c r="AO22" i="13"/>
  <c r="AM22" i="13"/>
  <c r="AH22" i="13"/>
  <c r="AT21" i="13"/>
  <c r="AP21" i="13"/>
  <c r="AO21" i="13"/>
  <c r="AM21" i="13"/>
  <c r="AH21" i="13"/>
  <c r="AT20" i="13"/>
  <c r="AP20" i="13"/>
  <c r="AO20" i="13"/>
  <c r="AM20" i="13"/>
  <c r="AH20" i="13"/>
  <c r="AT19" i="13"/>
  <c r="AP19" i="13"/>
  <c r="AO19" i="13"/>
  <c r="AM19" i="13"/>
  <c r="AH19" i="13"/>
  <c r="AT18" i="13"/>
  <c r="AP18" i="13"/>
  <c r="AO18" i="13"/>
  <c r="AM18" i="13"/>
  <c r="AH18" i="13"/>
  <c r="AT17" i="13"/>
  <c r="AP17" i="13"/>
  <c r="AO17" i="13"/>
  <c r="AM17" i="13"/>
  <c r="AH17" i="13"/>
  <c r="AT16" i="13"/>
  <c r="AP16" i="13"/>
  <c r="AO16" i="13"/>
  <c r="AM16" i="13"/>
  <c r="AH16" i="13"/>
  <c r="AT15" i="13"/>
  <c r="AP15" i="13"/>
  <c r="AO15" i="13"/>
  <c r="AM15" i="13"/>
  <c r="AH15" i="13"/>
  <c r="AT14" i="13"/>
  <c r="AP14" i="13"/>
  <c r="AO14" i="13"/>
  <c r="AM14" i="13"/>
  <c r="AH14" i="13"/>
  <c r="AT13" i="13"/>
  <c r="AP13" i="13"/>
  <c r="AO13" i="13"/>
  <c r="AM13" i="13"/>
  <c r="AH13" i="13"/>
  <c r="AT12" i="13"/>
  <c r="AP12" i="13"/>
  <c r="AO12" i="13"/>
  <c r="AM12" i="13"/>
  <c r="AH12" i="13"/>
  <c r="AT11" i="13"/>
  <c r="AP11" i="13"/>
  <c r="AO11" i="13"/>
  <c r="AM11" i="13"/>
  <c r="AH11" i="13"/>
  <c r="AT10" i="13"/>
  <c r="AP10" i="13"/>
  <c r="AO10" i="13"/>
  <c r="AM10" i="13"/>
  <c r="AH10" i="13"/>
  <c r="AT9" i="13"/>
  <c r="AP9" i="13"/>
  <c r="AO9" i="13"/>
  <c r="AM9" i="13"/>
  <c r="AH9" i="13"/>
  <c r="AT8" i="13"/>
  <c r="AP8" i="13"/>
  <c r="AO8" i="13"/>
  <c r="AM8" i="13"/>
  <c r="AH8" i="13"/>
  <c r="AT7" i="13"/>
  <c r="AP7" i="13"/>
  <c r="AO7" i="13"/>
  <c r="AM7" i="13"/>
  <c r="AH7" i="13"/>
  <c r="AT6" i="13"/>
  <c r="AP6" i="13"/>
  <c r="AO6" i="13"/>
  <c r="AM6" i="13"/>
  <c r="AH6" i="13"/>
  <c r="AH7" i="78"/>
  <c r="AM7" i="78"/>
  <c r="AO7" i="78"/>
  <c r="AP7" i="78"/>
  <c r="AT7" i="78"/>
  <c r="AH8" i="78"/>
  <c r="AM8" i="78"/>
  <c r="AO8" i="78"/>
  <c r="AP8" i="78"/>
  <c r="AT8" i="78"/>
  <c r="AH9" i="78"/>
  <c r="AM9" i="78"/>
  <c r="AO9" i="78"/>
  <c r="AP9" i="78"/>
  <c r="AT9" i="78"/>
  <c r="AH10" i="78"/>
  <c r="AM10" i="78"/>
  <c r="AO10" i="78"/>
  <c r="AP10" i="78"/>
  <c r="AT10" i="78"/>
  <c r="AH11" i="78"/>
  <c r="AM11" i="78"/>
  <c r="AO11" i="78"/>
  <c r="AP11" i="78"/>
  <c r="AT11" i="78"/>
  <c r="AH12" i="78"/>
  <c r="AM12" i="78"/>
  <c r="AO12" i="78"/>
  <c r="AP12" i="78"/>
  <c r="AT12" i="78"/>
  <c r="AH13" i="78"/>
  <c r="AM13" i="78"/>
  <c r="AO13" i="78"/>
  <c r="AP13" i="78"/>
  <c r="AT13" i="78"/>
  <c r="AH14" i="78"/>
  <c r="AM14" i="78"/>
  <c r="AO14" i="78"/>
  <c r="AP14" i="78"/>
  <c r="AT14" i="78"/>
  <c r="AH15" i="78"/>
  <c r="AM15" i="78"/>
  <c r="AO15" i="78"/>
  <c r="AP15" i="78"/>
  <c r="AT15" i="78"/>
  <c r="AH16" i="78"/>
  <c r="AM16" i="78"/>
  <c r="AO16" i="78"/>
  <c r="AP16" i="78"/>
  <c r="AT16" i="78"/>
  <c r="AH17" i="78"/>
  <c r="AM17" i="78"/>
  <c r="AO17" i="78"/>
  <c r="AP17" i="78"/>
  <c r="AT17" i="78"/>
  <c r="AH18" i="78"/>
  <c r="AM18" i="78"/>
  <c r="AO18" i="78"/>
  <c r="AP18" i="78"/>
  <c r="AT18" i="78"/>
  <c r="AH19" i="78"/>
  <c r="AM19" i="78"/>
  <c r="AO19" i="78"/>
  <c r="AP19" i="78"/>
  <c r="AT19" i="78"/>
  <c r="AH20" i="78"/>
  <c r="AM20" i="78"/>
  <c r="AO20" i="78"/>
  <c r="AP20" i="78"/>
  <c r="AT20" i="78"/>
  <c r="AH21" i="78"/>
  <c r="AM21" i="78"/>
  <c r="AO21" i="78"/>
  <c r="AP21" i="78"/>
  <c r="AT21" i="78"/>
  <c r="AH22" i="78"/>
  <c r="AM22" i="78"/>
  <c r="AO22" i="78"/>
  <c r="AP22" i="78"/>
  <c r="AT22" i="78"/>
  <c r="AH23" i="78"/>
  <c r="AM23" i="78"/>
  <c r="AO23" i="78"/>
  <c r="AP23" i="78"/>
  <c r="AT23" i="78"/>
  <c r="AH24" i="78"/>
  <c r="AM24" i="78"/>
  <c r="AO24" i="78"/>
  <c r="AP24" i="78"/>
  <c r="AT24" i="78"/>
  <c r="AH25" i="78"/>
  <c r="AM25" i="78"/>
  <c r="AO25" i="78"/>
  <c r="AP25" i="78"/>
  <c r="AT25" i="78"/>
  <c r="AH26" i="78"/>
  <c r="AM26" i="78"/>
  <c r="AO26" i="78"/>
  <c r="AP26" i="78"/>
  <c r="AT26" i="78"/>
  <c r="AH27" i="78"/>
  <c r="AM27" i="78"/>
  <c r="AO27" i="78"/>
  <c r="AP27" i="78"/>
  <c r="AT27" i="78"/>
  <c r="AH28" i="78"/>
  <c r="AM28" i="78"/>
  <c r="AO28" i="78"/>
  <c r="AP28" i="78"/>
  <c r="AT28" i="78"/>
  <c r="AH29" i="78"/>
  <c r="AI29" i="78"/>
  <c r="AJ29" i="78"/>
  <c r="AK29" i="78"/>
  <c r="AL29" i="78"/>
  <c r="AM29" i="78"/>
  <c r="AO29" i="78"/>
  <c r="AP29" i="78"/>
  <c r="AT29" i="78"/>
  <c r="AH30" i="78"/>
  <c r="AI30" i="78"/>
  <c r="AJ30" i="78"/>
  <c r="AK30" i="78"/>
  <c r="AL30" i="78"/>
  <c r="AM30" i="78"/>
  <c r="AO30" i="78"/>
  <c r="AP30" i="78"/>
  <c r="AT30" i="78"/>
  <c r="AH31" i="78"/>
  <c r="AI31" i="78"/>
  <c r="AJ31" i="78"/>
  <c r="AK31" i="78"/>
  <c r="AL31" i="78"/>
  <c r="AM31" i="78"/>
  <c r="AO31" i="78"/>
  <c r="AP31" i="78"/>
  <c r="AT31" i="78"/>
  <c r="AH32" i="78"/>
  <c r="AI32" i="78"/>
  <c r="AJ32" i="78"/>
  <c r="AK32" i="78"/>
  <c r="AL32" i="78"/>
  <c r="AM32" i="78"/>
  <c r="AO32" i="78"/>
  <c r="AP32" i="78"/>
  <c r="AT32" i="78"/>
  <c r="AH33" i="78"/>
  <c r="AI33" i="78"/>
  <c r="AJ33" i="78"/>
  <c r="AK33" i="78"/>
  <c r="AL33" i="78"/>
  <c r="AM33" i="78"/>
  <c r="AO33" i="78"/>
  <c r="AP33" i="78"/>
  <c r="AT33" i="78"/>
  <c r="AH34" i="78"/>
  <c r="AI34" i="78"/>
  <c r="AJ34" i="78"/>
  <c r="AK34" i="78"/>
  <c r="AL34" i="78"/>
  <c r="AM34" i="78"/>
  <c r="AO34" i="78"/>
  <c r="AP34" i="78"/>
  <c r="AT34" i="78"/>
  <c r="AH35" i="78"/>
  <c r="AI35" i="78"/>
  <c r="AJ35" i="78"/>
  <c r="AK35" i="78"/>
  <c r="AL35" i="78"/>
  <c r="AM35" i="78"/>
  <c r="AO35" i="78"/>
  <c r="AP35" i="78"/>
  <c r="AT35" i="78"/>
  <c r="AH36" i="78"/>
  <c r="AI36" i="78"/>
  <c r="AJ36" i="78"/>
  <c r="AK36" i="78"/>
  <c r="AL36" i="78"/>
  <c r="AM36" i="78"/>
  <c r="AO36" i="78"/>
  <c r="AP36" i="78"/>
  <c r="AT36" i="78"/>
  <c r="AH37" i="78"/>
  <c r="AI37" i="78"/>
  <c r="AJ37" i="78"/>
  <c r="AK37" i="78"/>
  <c r="AL37" i="78"/>
  <c r="AM37" i="78"/>
  <c r="AO37" i="78"/>
  <c r="AP37" i="78"/>
  <c r="AT37" i="78"/>
  <c r="AT6" i="78"/>
  <c r="AP6" i="78"/>
  <c r="AO6" i="78"/>
  <c r="AM6" i="78"/>
  <c r="AH6" i="78"/>
  <c r="AK20" i="78" l="1"/>
  <c r="BF20" i="78" s="1"/>
  <c r="AK12" i="78"/>
  <c r="BF12" i="78" s="1"/>
  <c r="AK11" i="13"/>
  <c r="BF11" i="13" s="1"/>
  <c r="AK24" i="13"/>
  <c r="BF24" i="13"/>
  <c r="AK8" i="71"/>
  <c r="BF8" i="71" s="1"/>
  <c r="AK9" i="73"/>
  <c r="BF9" i="73" s="1"/>
  <c r="AK21" i="78"/>
  <c r="BF21" i="78" s="1"/>
  <c r="AK17" i="78"/>
  <c r="BF17" i="78"/>
  <c r="AK13" i="78"/>
  <c r="BF13" i="78" s="1"/>
  <c r="AK9" i="78"/>
  <c r="BF9" i="78"/>
  <c r="AK6" i="13"/>
  <c r="BF6" i="13" s="1"/>
  <c r="AK10" i="13"/>
  <c r="BF10" i="13"/>
  <c r="AK14" i="13"/>
  <c r="BF14" i="13" s="1"/>
  <c r="AK18" i="13"/>
  <c r="BF18" i="13" s="1"/>
  <c r="AK23" i="13"/>
  <c r="BF23" i="13" s="1"/>
  <c r="AK27" i="13"/>
  <c r="BF27" i="13"/>
  <c r="BF25" i="80"/>
  <c r="AK25" i="80"/>
  <c r="AK26" i="79"/>
  <c r="BF26" i="79" s="1"/>
  <c r="BF23" i="81"/>
  <c r="AK23" i="81"/>
  <c r="AK27" i="81"/>
  <c r="BF27" i="81" s="1"/>
  <c r="AK28" i="78"/>
  <c r="BF28" i="78" s="1"/>
  <c r="AK24" i="78"/>
  <c r="BF24" i="78" s="1"/>
  <c r="AK16" i="78"/>
  <c r="BF16" i="78" s="1"/>
  <c r="AK8" i="78"/>
  <c r="BF8" i="78"/>
  <c r="AK7" i="13"/>
  <c r="BF7" i="13" s="1"/>
  <c r="AK15" i="13"/>
  <c r="BF15" i="13"/>
  <c r="AK19" i="13"/>
  <c r="BF19" i="13" s="1"/>
  <c r="AK28" i="13"/>
  <c r="BF28" i="13"/>
  <c r="AK12" i="71"/>
  <c r="BF12" i="71" s="1"/>
  <c r="AK13" i="73"/>
  <c r="BF13" i="73" s="1"/>
  <c r="AK7" i="79"/>
  <c r="BF7" i="79" s="1"/>
  <c r="AK15" i="79"/>
  <c r="BF15" i="79" s="1"/>
  <c r="AK25" i="78"/>
  <c r="BF25" i="78" s="1"/>
  <c r="AK6" i="78"/>
  <c r="BF6" i="78"/>
  <c r="AK26" i="78"/>
  <c r="BF26" i="78" s="1"/>
  <c r="AK22" i="78"/>
  <c r="BF22" i="78"/>
  <c r="AK18" i="78"/>
  <c r="BF18" i="78" s="1"/>
  <c r="AK14" i="78"/>
  <c r="BF14" i="78" s="1"/>
  <c r="AK10" i="78"/>
  <c r="BF10" i="78" s="1"/>
  <c r="AK9" i="13"/>
  <c r="BF9" i="13"/>
  <c r="AK13" i="13"/>
  <c r="BF13" i="13" s="1"/>
  <c r="AK17" i="13"/>
  <c r="BF17" i="13"/>
  <c r="AK21" i="13"/>
  <c r="BF21" i="13" s="1"/>
  <c r="BO21" i="13" s="1" a="1"/>
  <c r="BO21" i="13" s="1"/>
  <c r="AK22" i="13"/>
  <c r="BF22" i="13"/>
  <c r="AK26" i="13"/>
  <c r="BF26" i="13" s="1"/>
  <c r="AK22" i="71"/>
  <c r="BF22" i="71" s="1"/>
  <c r="AK26" i="71"/>
  <c r="BF26" i="71" s="1"/>
  <c r="BF9" i="86"/>
  <c r="BF13" i="86"/>
  <c r="BF17" i="86"/>
  <c r="AK20" i="71"/>
  <c r="BF20" i="71" s="1"/>
  <c r="AK17" i="73"/>
  <c r="BF17" i="73" s="1"/>
  <c r="AK21" i="73"/>
  <c r="BF21" i="73" s="1"/>
  <c r="BO21" i="73" s="1" a="1"/>
  <c r="BO21" i="73" s="1"/>
  <c r="AK11" i="79"/>
  <c r="BF11" i="79" s="1"/>
  <c r="AK19" i="79"/>
  <c r="BF19" i="79" s="1"/>
  <c r="AK27" i="78"/>
  <c r="BF27" i="78" s="1"/>
  <c r="AK23" i="78"/>
  <c r="BF23" i="78"/>
  <c r="AK19" i="78"/>
  <c r="BF19" i="78" s="1"/>
  <c r="AK15" i="78"/>
  <c r="BF15" i="78" s="1"/>
  <c r="AK11" i="78"/>
  <c r="BF11" i="78" s="1"/>
  <c r="AK7" i="78"/>
  <c r="BF7" i="78" s="1"/>
  <c r="AK8" i="13"/>
  <c r="BF8" i="13" s="1"/>
  <c r="AK12" i="13"/>
  <c r="BF12" i="13"/>
  <c r="AK16" i="13"/>
  <c r="BF16" i="13" s="1"/>
  <c r="AK20" i="13"/>
  <c r="BF20" i="13"/>
  <c r="AK25" i="13"/>
  <c r="BF25" i="13" s="1"/>
  <c r="AK7" i="80"/>
  <c r="BF7" i="80" s="1"/>
  <c r="AK11" i="80"/>
  <c r="BF11" i="80" s="1"/>
  <c r="AK15" i="80"/>
  <c r="BF15" i="80" s="1"/>
  <c r="BF19" i="80"/>
  <c r="AK19" i="80"/>
  <c r="AK9" i="81"/>
  <c r="BF9" i="81" s="1"/>
  <c r="BF13" i="81"/>
  <c r="AK13" i="81"/>
  <c r="AK17" i="81"/>
  <c r="BF17" i="81" s="1"/>
  <c r="AK21" i="81"/>
  <c r="BF21" i="81" s="1"/>
  <c r="BF9" i="85"/>
  <c r="BF13" i="85"/>
  <c r="BF17" i="85"/>
  <c r="BF21" i="85"/>
  <c r="BO21" i="85" s="1" a="1"/>
  <c r="BO21" i="85" s="1"/>
  <c r="BF24" i="85"/>
  <c r="BF28" i="85"/>
  <c r="BF9" i="82"/>
  <c r="BF10" i="82"/>
  <c r="BF14" i="82"/>
  <c r="BF18" i="82"/>
  <c r="BF6" i="86"/>
  <c r="BF14" i="86"/>
  <c r="BF18" i="86"/>
  <c r="BF8" i="86"/>
  <c r="BF12" i="86"/>
  <c r="BF16" i="86"/>
  <c r="BF20" i="86"/>
  <c r="BF10" i="86"/>
  <c r="BF7" i="86"/>
  <c r="BF11" i="86"/>
  <c r="BF15" i="86"/>
  <c r="BF19" i="86"/>
  <c r="BF13" i="82"/>
  <c r="BF17" i="82"/>
  <c r="BF6" i="82"/>
  <c r="BF7" i="82"/>
  <c r="BF11" i="82"/>
  <c r="BF15" i="82"/>
  <c r="BF19" i="82"/>
  <c r="BF8" i="82"/>
  <c r="BF12" i="82"/>
  <c r="BF16" i="82"/>
  <c r="BF6" i="85"/>
  <c r="BF10" i="85"/>
  <c r="BF14" i="85"/>
  <c r="BF18" i="85"/>
  <c r="BF25" i="85"/>
  <c r="BF7" i="85"/>
  <c r="BF11" i="85"/>
  <c r="BF15" i="85"/>
  <c r="BF19" i="85"/>
  <c r="BF22" i="85"/>
  <c r="BF26" i="85"/>
  <c r="BF8" i="85"/>
  <c r="BF12" i="85"/>
  <c r="BF16" i="85"/>
  <c r="BF20" i="85"/>
  <c r="BF23" i="85"/>
  <c r="BF27" i="85"/>
  <c r="BF6" i="81"/>
  <c r="BF10" i="81"/>
  <c r="BF14" i="81"/>
  <c r="BF18" i="81"/>
  <c r="BF24" i="81"/>
  <c r="BF28" i="81"/>
  <c r="BF7" i="81"/>
  <c r="BF11" i="81"/>
  <c r="BF15" i="81"/>
  <c r="BF19" i="81"/>
  <c r="BF25" i="81"/>
  <c r="BF8" i="81"/>
  <c r="BF12" i="81"/>
  <c r="BF16" i="81"/>
  <c r="BF20" i="81"/>
  <c r="BF22" i="81"/>
  <c r="BF26" i="81"/>
  <c r="BF22" i="79"/>
  <c r="BF6" i="79"/>
  <c r="BF8" i="79"/>
  <c r="BF12" i="79"/>
  <c r="BF16" i="79"/>
  <c r="BF20" i="79"/>
  <c r="BF23" i="79"/>
  <c r="BF27" i="79"/>
  <c r="BF9" i="79"/>
  <c r="BF13" i="79"/>
  <c r="BF17" i="79"/>
  <c r="BF21" i="79"/>
  <c r="BO21" i="79" s="1" a="1"/>
  <c r="BO21" i="79" s="1"/>
  <c r="BF24" i="79"/>
  <c r="BF28" i="79"/>
  <c r="BF10" i="79"/>
  <c r="BF14" i="79"/>
  <c r="BF18" i="79"/>
  <c r="BF25" i="79"/>
  <c r="BF12" i="80"/>
  <c r="BF20" i="80"/>
  <c r="BF22" i="80"/>
  <c r="BF26" i="80"/>
  <c r="BF6" i="80"/>
  <c r="BF10" i="80"/>
  <c r="BF14" i="80"/>
  <c r="BF18" i="80"/>
  <c r="BF24" i="80"/>
  <c r="BF28" i="80"/>
  <c r="BF8" i="80"/>
  <c r="BF16" i="80"/>
  <c r="BF9" i="80"/>
  <c r="BF13" i="80"/>
  <c r="BF17" i="80"/>
  <c r="BF21" i="80"/>
  <c r="BO21" i="80" s="1" a="1"/>
  <c r="BO21" i="80" s="1"/>
  <c r="BF23" i="80"/>
  <c r="BF27" i="80"/>
  <c r="BF6" i="73"/>
  <c r="BF10" i="73"/>
  <c r="BF14" i="73"/>
  <c r="BF18" i="73"/>
  <c r="BF24" i="73"/>
  <c r="BF28" i="73"/>
  <c r="BF7" i="73"/>
  <c r="BF11" i="73"/>
  <c r="BF15" i="73"/>
  <c r="BF19" i="73"/>
  <c r="BF25" i="73"/>
  <c r="BF23" i="73"/>
  <c r="BF27" i="73"/>
  <c r="BF8" i="73"/>
  <c r="BF12" i="73"/>
  <c r="BF16" i="73"/>
  <c r="BF20" i="73"/>
  <c r="BF22" i="73"/>
  <c r="BF26" i="73"/>
  <c r="BF16" i="71"/>
  <c r="BF17" i="71"/>
  <c r="BF23" i="71"/>
  <c r="BF27" i="71"/>
  <c r="BF6" i="71"/>
  <c r="BF10" i="71"/>
  <c r="BF14" i="71"/>
  <c r="BF18" i="71"/>
  <c r="BF24" i="71"/>
  <c r="BF28" i="71"/>
  <c r="BF9" i="71"/>
  <c r="BF13" i="71"/>
  <c r="BF21" i="71"/>
  <c r="BO21" i="71" s="1" a="1"/>
  <c r="BO21" i="71" s="1"/>
  <c r="BF7" i="71"/>
  <c r="BF11" i="71"/>
  <c r="BF15" i="71"/>
  <c r="BF19" i="71"/>
  <c r="BF25" i="71"/>
  <c r="BF5" i="13" l="1"/>
  <c r="BF5" i="86"/>
  <c r="BF5" i="82"/>
  <c r="BF5" i="85"/>
  <c r="BF5" i="81"/>
  <c r="BF5" i="79"/>
  <c r="BF5" i="80"/>
  <c r="BF5" i="73"/>
  <c r="BF5" i="71"/>
  <c r="AJ23" i="66"/>
  <c r="AI23" i="66"/>
  <c r="AL23" i="66" s="1"/>
  <c r="AH23" i="66"/>
  <c r="BF23" i="66" s="1"/>
  <c r="AJ22" i="66"/>
  <c r="AI22" i="66"/>
  <c r="AL22" i="66" s="1"/>
  <c r="AH22" i="66"/>
  <c r="AJ21" i="66"/>
  <c r="AI21" i="66"/>
  <c r="AL21" i="66" s="1"/>
  <c r="AH21" i="66"/>
  <c r="AJ20" i="66"/>
  <c r="AI20" i="66"/>
  <c r="AL20" i="66" s="1"/>
  <c r="AH20" i="66"/>
  <c r="AJ19" i="66"/>
  <c r="AI19" i="66"/>
  <c r="AL19" i="66" s="1"/>
  <c r="AH19" i="66"/>
  <c r="AJ18" i="66"/>
  <c r="AI18" i="66"/>
  <c r="AL18" i="66" s="1"/>
  <c r="AH18" i="66"/>
  <c r="AJ17" i="66"/>
  <c r="AI17" i="66"/>
  <c r="AL17" i="66" s="1"/>
  <c r="AH17" i="66"/>
  <c r="AJ6" i="66"/>
  <c r="AI6" i="66"/>
  <c r="AL6" i="66" s="1"/>
  <c r="AH6" i="66"/>
  <c r="AH7" i="5"/>
  <c r="AI7" i="5"/>
  <c r="AL7" i="5" s="1"/>
  <c r="AJ7" i="5"/>
  <c r="AH8" i="5"/>
  <c r="AI8" i="5"/>
  <c r="AL8" i="5" s="1"/>
  <c r="AJ8" i="5"/>
  <c r="AH9" i="5"/>
  <c r="AI9" i="5"/>
  <c r="AL9" i="5" s="1"/>
  <c r="AJ9" i="5"/>
  <c r="AH10" i="5"/>
  <c r="AI10" i="5"/>
  <c r="AL10" i="5" s="1"/>
  <c r="AJ10" i="5"/>
  <c r="AH11" i="5"/>
  <c r="AI11" i="5"/>
  <c r="AL11" i="5" s="1"/>
  <c r="AJ11" i="5"/>
  <c r="AH12" i="5"/>
  <c r="AI12" i="5"/>
  <c r="AL12" i="5" s="1"/>
  <c r="AJ12" i="5"/>
  <c r="AH13" i="5"/>
  <c r="AI13" i="5"/>
  <c r="AL13" i="5" s="1"/>
  <c r="AJ13" i="5"/>
  <c r="AH14" i="5"/>
  <c r="AI14" i="5"/>
  <c r="AL14" i="5" s="1"/>
  <c r="AJ14" i="5"/>
  <c r="AH15" i="5"/>
  <c r="AI15" i="5"/>
  <c r="AL15" i="5" s="1"/>
  <c r="AJ15" i="5"/>
  <c r="AH16" i="5"/>
  <c r="AI16" i="5"/>
  <c r="AL16" i="5" s="1"/>
  <c r="AJ16" i="5"/>
  <c r="AH17" i="5"/>
  <c r="AI17" i="5"/>
  <c r="AL17" i="5" s="1"/>
  <c r="AJ17" i="5"/>
  <c r="AH18" i="5"/>
  <c r="AI18" i="5"/>
  <c r="AL18" i="5" s="1"/>
  <c r="AJ18" i="5"/>
  <c r="AH19" i="5"/>
  <c r="AI19" i="5"/>
  <c r="AJ19" i="5"/>
  <c r="AH20" i="5"/>
  <c r="AI20" i="5"/>
  <c r="AJ20" i="5"/>
  <c r="AH21" i="5"/>
  <c r="AI21" i="5"/>
  <c r="AJ21" i="5"/>
  <c r="AH22" i="5"/>
  <c r="AI22" i="5"/>
  <c r="AJ22" i="5"/>
  <c r="AH23" i="5"/>
  <c r="AI23" i="5"/>
  <c r="AJ23" i="5"/>
  <c r="AH24" i="5"/>
  <c r="AI24" i="5"/>
  <c r="AJ24" i="5"/>
  <c r="AH25" i="5"/>
  <c r="AI25" i="5"/>
  <c r="AJ25" i="5"/>
  <c r="AH26" i="5"/>
  <c r="AI26" i="5"/>
  <c r="AJ26" i="5"/>
  <c r="AH27" i="5"/>
  <c r="AI27" i="5"/>
  <c r="AJ27" i="5"/>
  <c r="AH28" i="5"/>
  <c r="AI28" i="5"/>
  <c r="AJ28" i="5"/>
  <c r="AH29" i="5"/>
  <c r="AI29" i="5"/>
  <c r="AJ29" i="5"/>
  <c r="AH30" i="5"/>
  <c r="AI30" i="5"/>
  <c r="AJ30" i="5"/>
  <c r="AH31" i="5"/>
  <c r="AI31" i="5"/>
  <c r="AJ31" i="5"/>
  <c r="AH32" i="5"/>
  <c r="AI32" i="5"/>
  <c r="AJ32" i="5"/>
  <c r="AH33" i="5"/>
  <c r="AI33" i="5"/>
  <c r="AJ33" i="5"/>
  <c r="AH34" i="5"/>
  <c r="AI34" i="5"/>
  <c r="AJ34" i="5"/>
  <c r="AH35" i="5"/>
  <c r="AI35" i="5"/>
  <c r="AJ35" i="5"/>
  <c r="AH36" i="5"/>
  <c r="AI36" i="5"/>
  <c r="AJ36" i="5"/>
  <c r="AH37" i="5"/>
  <c r="AI37" i="5"/>
  <c r="AJ37" i="5"/>
  <c r="AH38" i="5"/>
  <c r="AI38" i="5"/>
  <c r="AJ38" i="5"/>
  <c r="AH39" i="5"/>
  <c r="AI39" i="5"/>
  <c r="AJ39" i="5"/>
  <c r="AH40" i="5"/>
  <c r="AI40" i="5"/>
  <c r="AJ40" i="5"/>
  <c r="AH41" i="5"/>
  <c r="AI41" i="5"/>
  <c r="AJ41" i="5"/>
  <c r="AH42" i="5"/>
  <c r="AI42" i="5"/>
  <c r="AJ42" i="5"/>
  <c r="AH43" i="5"/>
  <c r="AI43" i="5"/>
  <c r="AJ43" i="5"/>
  <c r="AH44" i="5"/>
  <c r="AI44" i="5"/>
  <c r="AJ44" i="5"/>
  <c r="AH45" i="5"/>
  <c r="AI45" i="5"/>
  <c r="AJ45" i="5"/>
  <c r="AH46" i="5"/>
  <c r="AI46" i="5"/>
  <c r="AJ46" i="5"/>
  <c r="AH47" i="5"/>
  <c r="AI47" i="5"/>
  <c r="AJ47" i="5"/>
  <c r="AH48" i="5"/>
  <c r="AI48" i="5"/>
  <c r="AJ48" i="5"/>
  <c r="AH49" i="5"/>
  <c r="AI49" i="5"/>
  <c r="AJ49" i="5"/>
  <c r="AH50" i="5"/>
  <c r="AI50" i="5"/>
  <c r="AJ50" i="5"/>
  <c r="AH51" i="5"/>
  <c r="AI51" i="5"/>
  <c r="AJ51" i="5"/>
  <c r="AH52" i="5"/>
  <c r="AI52" i="5"/>
  <c r="AJ52" i="5"/>
  <c r="AH53" i="5"/>
  <c r="AI53" i="5"/>
  <c r="AJ53" i="5"/>
  <c r="AH54" i="5"/>
  <c r="AI54" i="5"/>
  <c r="AJ54" i="5"/>
  <c r="AH55" i="5"/>
  <c r="AI55" i="5"/>
  <c r="AJ55" i="5"/>
  <c r="AH56" i="5"/>
  <c r="AI56" i="5"/>
  <c r="AJ56" i="5"/>
  <c r="AH57" i="5"/>
  <c r="AI57" i="5"/>
  <c r="AJ57" i="5"/>
  <c r="AH58" i="5"/>
  <c r="AI58" i="5"/>
  <c r="AJ58" i="5"/>
  <c r="AH59" i="5"/>
  <c r="AI59" i="5"/>
  <c r="AJ59" i="5"/>
  <c r="AH60" i="5"/>
  <c r="AI60" i="5"/>
  <c r="AJ60" i="5"/>
  <c r="AH61" i="5"/>
  <c r="AI61" i="5"/>
  <c r="AJ61" i="5"/>
  <c r="AH62" i="5"/>
  <c r="AI62" i="5"/>
  <c r="AJ62" i="5"/>
  <c r="AH63" i="5"/>
  <c r="AI63" i="5"/>
  <c r="AJ63" i="5"/>
  <c r="AH64" i="5"/>
  <c r="AI64" i="5"/>
  <c r="AJ64" i="5"/>
  <c r="AH65" i="5"/>
  <c r="AI65" i="5"/>
  <c r="AJ65" i="5"/>
  <c r="AH66" i="5"/>
  <c r="AI66" i="5"/>
  <c r="AJ66" i="5"/>
  <c r="AH67" i="5"/>
  <c r="AI67" i="5"/>
  <c r="AJ67" i="5"/>
  <c r="AH68" i="5"/>
  <c r="AI68" i="5"/>
  <c r="AJ68" i="5"/>
  <c r="AH69" i="5"/>
  <c r="AI69" i="5"/>
  <c r="AJ69" i="5"/>
  <c r="AH70" i="5"/>
  <c r="AI70" i="5"/>
  <c r="AJ70" i="5"/>
  <c r="AH71" i="5"/>
  <c r="AI71" i="5"/>
  <c r="AJ71" i="5"/>
  <c r="AH72" i="5"/>
  <c r="AI72" i="5"/>
  <c r="AJ72" i="5"/>
  <c r="AH73" i="5"/>
  <c r="AI73" i="5"/>
  <c r="AJ73" i="5"/>
  <c r="AH74" i="5"/>
  <c r="AI74" i="5"/>
  <c r="AJ74" i="5"/>
  <c r="AH75" i="5"/>
  <c r="AI75" i="5"/>
  <c r="AJ75" i="5"/>
  <c r="AH76" i="5"/>
  <c r="AI76" i="5"/>
  <c r="AJ76" i="5"/>
  <c r="AH77" i="5"/>
  <c r="AI77" i="5"/>
  <c r="AJ77" i="5"/>
  <c r="AH78" i="5"/>
  <c r="AI78" i="5"/>
  <c r="AJ78" i="5"/>
  <c r="AH79" i="5"/>
  <c r="AI79" i="5"/>
  <c r="AJ79" i="5"/>
  <c r="AH80" i="5"/>
  <c r="AI80" i="5"/>
  <c r="AJ80" i="5"/>
  <c r="AH81" i="5"/>
  <c r="AI81" i="5"/>
  <c r="AJ81" i="5"/>
  <c r="AH82" i="5"/>
  <c r="AI82" i="5"/>
  <c r="AJ82" i="5"/>
  <c r="AH83" i="5"/>
  <c r="AI83" i="5"/>
  <c r="AJ83" i="5"/>
  <c r="AH84" i="5"/>
  <c r="AI84" i="5"/>
  <c r="AJ84" i="5"/>
  <c r="AH85" i="5"/>
  <c r="AI85" i="5"/>
  <c r="AJ85" i="5"/>
  <c r="AH86" i="5"/>
  <c r="AI86" i="5"/>
  <c r="AJ86" i="5"/>
  <c r="AH87" i="5"/>
  <c r="AI87" i="5"/>
  <c r="AJ87" i="5"/>
  <c r="AH88" i="5"/>
  <c r="AI88" i="5"/>
  <c r="AJ88" i="5"/>
  <c r="AH89" i="5"/>
  <c r="AI89" i="5"/>
  <c r="AJ89" i="5"/>
  <c r="AH90" i="5"/>
  <c r="AI90" i="5"/>
  <c r="AJ90" i="5"/>
  <c r="AH91" i="5"/>
  <c r="AI91" i="5"/>
  <c r="AJ91" i="5"/>
  <c r="AH92" i="5"/>
  <c r="AI92" i="5"/>
  <c r="AJ92" i="5"/>
  <c r="AH93" i="5"/>
  <c r="AI93" i="5"/>
  <c r="AJ93" i="5"/>
  <c r="AH94" i="5"/>
  <c r="AI94" i="5"/>
  <c r="AJ94" i="5"/>
  <c r="AH95" i="5"/>
  <c r="AI95" i="5"/>
  <c r="AJ95" i="5"/>
  <c r="AH96" i="5"/>
  <c r="AI96" i="5"/>
  <c r="AJ96" i="5"/>
  <c r="AH97" i="5"/>
  <c r="AI97" i="5"/>
  <c r="AJ97" i="5"/>
  <c r="AH98" i="5"/>
  <c r="AI98" i="5"/>
  <c r="AJ98" i="5"/>
  <c r="AH99" i="5"/>
  <c r="AI99" i="5"/>
  <c r="AJ99" i="5"/>
  <c r="AH100" i="5"/>
  <c r="AI100" i="5"/>
  <c r="AJ100" i="5"/>
  <c r="AH101" i="5"/>
  <c r="AI101" i="5"/>
  <c r="AJ101" i="5"/>
  <c r="AH102" i="5"/>
  <c r="AI102" i="5"/>
  <c r="AJ102" i="5"/>
  <c r="AH103" i="5"/>
  <c r="AI103" i="5"/>
  <c r="AJ103" i="5"/>
  <c r="AH104" i="5"/>
  <c r="AI104" i="5"/>
  <c r="AJ104" i="5"/>
  <c r="AH105" i="5"/>
  <c r="AI105" i="5"/>
  <c r="AJ105" i="5"/>
  <c r="AH106" i="5"/>
  <c r="AI106" i="5"/>
  <c r="AJ106" i="5"/>
  <c r="AJ6" i="5"/>
  <c r="AI6" i="5"/>
  <c r="AL6" i="5" s="1"/>
  <c r="AH6" i="5"/>
  <c r="AJ6" i="4"/>
  <c r="AJ7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5" i="4"/>
  <c r="AJ26" i="4"/>
  <c r="AJ27" i="4"/>
  <c r="AJ28" i="4"/>
  <c r="AJ29" i="4"/>
  <c r="AJ30" i="4"/>
  <c r="AJ31" i="4"/>
  <c r="AJ32" i="4"/>
  <c r="AJ33" i="4"/>
  <c r="AJ34" i="4"/>
  <c r="AJ35" i="4"/>
  <c r="AJ36" i="4"/>
  <c r="AJ37" i="4"/>
  <c r="AJ38" i="4"/>
  <c r="AJ39" i="4"/>
  <c r="AJ40" i="4"/>
  <c r="AJ41" i="4"/>
  <c r="AJ42" i="4"/>
  <c r="AJ43" i="4"/>
  <c r="AJ44" i="4"/>
  <c r="AJ45" i="4"/>
  <c r="AJ47" i="4"/>
  <c r="AJ48" i="4"/>
  <c r="AJ49" i="4"/>
  <c r="AJ50" i="4"/>
  <c r="AJ51" i="4"/>
  <c r="AJ52" i="4"/>
  <c r="AJ53" i="4"/>
  <c r="AJ54" i="4"/>
  <c r="AJ55" i="4"/>
  <c r="AJ56" i="4"/>
  <c r="AJ57" i="4"/>
  <c r="AJ58" i="4"/>
  <c r="AJ59" i="4"/>
  <c r="AJ60" i="4"/>
  <c r="AJ46" i="4"/>
  <c r="AI7" i="4"/>
  <c r="AL7" i="4" s="1"/>
  <c r="AI8" i="4"/>
  <c r="AL8" i="4" s="1"/>
  <c r="AI9" i="4"/>
  <c r="AL9" i="4" s="1"/>
  <c r="AI10" i="4"/>
  <c r="AL10" i="4" s="1"/>
  <c r="AI11" i="4"/>
  <c r="AL11" i="4" s="1"/>
  <c r="AI12" i="4"/>
  <c r="AL12" i="4" s="1"/>
  <c r="AI13" i="4"/>
  <c r="AL13" i="4" s="1"/>
  <c r="AI14" i="4"/>
  <c r="AL14" i="4" s="1"/>
  <c r="AI15" i="4"/>
  <c r="AL15" i="4" s="1"/>
  <c r="AI16" i="4"/>
  <c r="AL16" i="4" s="1"/>
  <c r="AI17" i="4"/>
  <c r="AL17" i="4" s="1"/>
  <c r="AI18" i="4"/>
  <c r="AL18" i="4" s="1"/>
  <c r="AI19" i="4"/>
  <c r="AL19" i="4" s="1"/>
  <c r="AI20" i="4"/>
  <c r="AL20" i="4" s="1"/>
  <c r="AI21" i="4"/>
  <c r="AL21" i="4" s="1"/>
  <c r="AI22" i="4"/>
  <c r="AL22" i="4" s="1"/>
  <c r="AI23" i="4"/>
  <c r="AL23" i="4" s="1"/>
  <c r="AI24" i="4"/>
  <c r="AL24" i="4" s="1"/>
  <c r="AI25" i="4"/>
  <c r="AL25" i="4" s="1"/>
  <c r="AI26" i="4"/>
  <c r="AL26" i="4" s="1"/>
  <c r="AI27" i="4"/>
  <c r="AL27" i="4" s="1"/>
  <c r="AI28" i="4"/>
  <c r="AL28" i="4" s="1"/>
  <c r="AI29" i="4"/>
  <c r="AL29" i="4" s="1"/>
  <c r="AI30" i="4"/>
  <c r="AL30" i="4" s="1"/>
  <c r="AI31" i="4"/>
  <c r="AL31" i="4" s="1"/>
  <c r="AI32" i="4"/>
  <c r="AL32" i="4" s="1"/>
  <c r="AI33" i="4"/>
  <c r="AL33" i="4" s="1"/>
  <c r="AI34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  <c r="AI52" i="4"/>
  <c r="AI53" i="4"/>
  <c r="AI54" i="4"/>
  <c r="AI55" i="4"/>
  <c r="AI56" i="4"/>
  <c r="AI57" i="4"/>
  <c r="AI58" i="4"/>
  <c r="AI59" i="4"/>
  <c r="AI60" i="4"/>
  <c r="AI6" i="4"/>
  <c r="AL6" i="4" s="1"/>
  <c r="AH7" i="4"/>
  <c r="AH8" i="4"/>
  <c r="AH9" i="4"/>
  <c r="AH10" i="4"/>
  <c r="AH11" i="4"/>
  <c r="AH12" i="4"/>
  <c r="AH13" i="4"/>
  <c r="AH14" i="4"/>
  <c r="AH15" i="4"/>
  <c r="AH16" i="4"/>
  <c r="AH17" i="4"/>
  <c r="AH18" i="4"/>
  <c r="AH19" i="4"/>
  <c r="AH20" i="4"/>
  <c r="AH21" i="4"/>
  <c r="AH22" i="4"/>
  <c r="AH23" i="4"/>
  <c r="AH24" i="4"/>
  <c r="AH25" i="4"/>
  <c r="AH26" i="4"/>
  <c r="AH27" i="4"/>
  <c r="AH28" i="4"/>
  <c r="AH29" i="4"/>
  <c r="AH30" i="4"/>
  <c r="AH31" i="4"/>
  <c r="AH32" i="4"/>
  <c r="AH33" i="4"/>
  <c r="AH34" i="4"/>
  <c r="AH35" i="4"/>
  <c r="AH36" i="4"/>
  <c r="AH37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58" i="4"/>
  <c r="AH59" i="4"/>
  <c r="AH60" i="4"/>
  <c r="AH6" i="4"/>
  <c r="AT20" i="66"/>
  <c r="AP20" i="66"/>
  <c r="AO20" i="66"/>
  <c r="AM20" i="66"/>
  <c r="AK20" i="66"/>
  <c r="AT19" i="66"/>
  <c r="AP19" i="66"/>
  <c r="AO19" i="66"/>
  <c r="AM19" i="66"/>
  <c r="AK19" i="66"/>
  <c r="AT18" i="66"/>
  <c r="AP18" i="66"/>
  <c r="AO18" i="66"/>
  <c r="AM18" i="66"/>
  <c r="AK18" i="66"/>
  <c r="AT17" i="66"/>
  <c r="AP17" i="66"/>
  <c r="AO17" i="66"/>
  <c r="AM17" i="66"/>
  <c r="AK17" i="66"/>
  <c r="AT6" i="66"/>
  <c r="AP6" i="66"/>
  <c r="AO6" i="66"/>
  <c r="AM6" i="66"/>
  <c r="AK6" i="66"/>
  <c r="AK7" i="5"/>
  <c r="AM7" i="5"/>
  <c r="AO7" i="5"/>
  <c r="AP7" i="5"/>
  <c r="AT7" i="5"/>
  <c r="AK8" i="5"/>
  <c r="AM8" i="5"/>
  <c r="AO8" i="5"/>
  <c r="AP8" i="5"/>
  <c r="AT8" i="5"/>
  <c r="AK9" i="5"/>
  <c r="AM9" i="5"/>
  <c r="AO9" i="5"/>
  <c r="AP9" i="5"/>
  <c r="AT9" i="5"/>
  <c r="AK10" i="5"/>
  <c r="AM10" i="5"/>
  <c r="AO10" i="5"/>
  <c r="AP10" i="5"/>
  <c r="AT10" i="5"/>
  <c r="AK11" i="5"/>
  <c r="AM11" i="5"/>
  <c r="AO11" i="5"/>
  <c r="AP11" i="5"/>
  <c r="AT11" i="5"/>
  <c r="AK12" i="5"/>
  <c r="AM12" i="5"/>
  <c r="AO12" i="5"/>
  <c r="AP12" i="5"/>
  <c r="AT12" i="5"/>
  <c r="AK13" i="5"/>
  <c r="AM13" i="5"/>
  <c r="AO13" i="5"/>
  <c r="AP13" i="5"/>
  <c r="AT13" i="5"/>
  <c r="AK14" i="5"/>
  <c r="AM14" i="5"/>
  <c r="AO14" i="5"/>
  <c r="AP14" i="5"/>
  <c r="AT14" i="5"/>
  <c r="AK15" i="5"/>
  <c r="AM15" i="5"/>
  <c r="AO15" i="5"/>
  <c r="AP15" i="5"/>
  <c r="AT15" i="5"/>
  <c r="AT6" i="5"/>
  <c r="AP6" i="5"/>
  <c r="AO6" i="5"/>
  <c r="AM6" i="5"/>
  <c r="AK6" i="5"/>
  <c r="BF22" i="66" l="1"/>
  <c r="BF19" i="66"/>
  <c r="BF18" i="66"/>
  <c r="BF17" i="66"/>
  <c r="BF21" i="66"/>
  <c r="BF6" i="66"/>
  <c r="BF5" i="66" s="1"/>
  <c r="BF20" i="66"/>
  <c r="AP7" i="4"/>
  <c r="AP8" i="4"/>
  <c r="AP9" i="4"/>
  <c r="AP10" i="4"/>
  <c r="AP11" i="4"/>
  <c r="AP12" i="4"/>
  <c r="AP13" i="4"/>
  <c r="AP14" i="4"/>
  <c r="AP15" i="4"/>
  <c r="AP16" i="4"/>
  <c r="AP17" i="4"/>
  <c r="AP18" i="4"/>
  <c r="AP19" i="4"/>
  <c r="AP20" i="4"/>
  <c r="AP21" i="4"/>
  <c r="AP22" i="4"/>
  <c r="AP23" i="4"/>
  <c r="AP24" i="4"/>
  <c r="AP25" i="4"/>
  <c r="AP26" i="4"/>
  <c r="AP27" i="4"/>
  <c r="AP28" i="4"/>
  <c r="AP29" i="4"/>
  <c r="AP30" i="4"/>
  <c r="AP31" i="4"/>
  <c r="AP32" i="4"/>
  <c r="AP33" i="4"/>
  <c r="AP34" i="4"/>
  <c r="AP35" i="4"/>
  <c r="AP36" i="4"/>
  <c r="AP37" i="4"/>
  <c r="AP38" i="4"/>
  <c r="AP39" i="4"/>
  <c r="AP40" i="4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60" i="4"/>
  <c r="AT7" i="4"/>
  <c r="AT8" i="4"/>
  <c r="AT9" i="4"/>
  <c r="AT10" i="4"/>
  <c r="AT11" i="4"/>
  <c r="AT12" i="4"/>
  <c r="AT13" i="4"/>
  <c r="AT14" i="4"/>
  <c r="AT15" i="4"/>
  <c r="AT16" i="4"/>
  <c r="AT17" i="4"/>
  <c r="AT18" i="4"/>
  <c r="AT19" i="4"/>
  <c r="AT20" i="4"/>
  <c r="AT21" i="4"/>
  <c r="AT22" i="4"/>
  <c r="AT23" i="4"/>
  <c r="AT24" i="4"/>
  <c r="AT25" i="4"/>
  <c r="AT26" i="4"/>
  <c r="AT27" i="4"/>
  <c r="AT28" i="4"/>
  <c r="AT29" i="4"/>
  <c r="AT30" i="4"/>
  <c r="AT31" i="4"/>
  <c r="AT32" i="4"/>
  <c r="AT33" i="4"/>
  <c r="AT34" i="4"/>
  <c r="AT35" i="4"/>
  <c r="AT36" i="4"/>
  <c r="AT37" i="4"/>
  <c r="AT38" i="4"/>
  <c r="AT39" i="4"/>
  <c r="AT40" i="4"/>
  <c r="AT41" i="4"/>
  <c r="AT42" i="4"/>
  <c r="AT43" i="4"/>
  <c r="AT44" i="4"/>
  <c r="AT45" i="4"/>
  <c r="AT46" i="4"/>
  <c r="AT47" i="4"/>
  <c r="AT48" i="4"/>
  <c r="AT49" i="4"/>
  <c r="AT50" i="4"/>
  <c r="AT51" i="4"/>
  <c r="AT52" i="4"/>
  <c r="AT53" i="4"/>
  <c r="AT54" i="4"/>
  <c r="AT55" i="4"/>
  <c r="AT56" i="4"/>
  <c r="AT57" i="4"/>
  <c r="AT58" i="4"/>
  <c r="AT59" i="4"/>
  <c r="AT60" i="4"/>
  <c r="AT6" i="4"/>
  <c r="AP6" i="4"/>
  <c r="AO7" i="4"/>
  <c r="AO8" i="4"/>
  <c r="AO9" i="4"/>
  <c r="AO10" i="4"/>
  <c r="AO11" i="4"/>
  <c r="AO12" i="4"/>
  <c r="AO13" i="4"/>
  <c r="AO14" i="4"/>
  <c r="AO15" i="4"/>
  <c r="AO16" i="4"/>
  <c r="AO17" i="4"/>
  <c r="AO18" i="4"/>
  <c r="AO19" i="4"/>
  <c r="AO20" i="4"/>
  <c r="AO21" i="4"/>
  <c r="AO22" i="4"/>
  <c r="AO23" i="4"/>
  <c r="AO24" i="4"/>
  <c r="AO25" i="4"/>
  <c r="AO26" i="4"/>
  <c r="AO27" i="4"/>
  <c r="AO28" i="4"/>
  <c r="AO29" i="4"/>
  <c r="AO30" i="4"/>
  <c r="AO31" i="4"/>
  <c r="AO32" i="4"/>
  <c r="AO33" i="4"/>
  <c r="AO34" i="4"/>
  <c r="AO35" i="4"/>
  <c r="AO36" i="4"/>
  <c r="AO37" i="4"/>
  <c r="AO38" i="4"/>
  <c r="AO39" i="4"/>
  <c r="AO40" i="4"/>
  <c r="AO41" i="4"/>
  <c r="AO42" i="4"/>
  <c r="AO43" i="4"/>
  <c r="AO44" i="4"/>
  <c r="AO45" i="4"/>
  <c r="AO46" i="4"/>
  <c r="AO47" i="4"/>
  <c r="AO48" i="4"/>
  <c r="AO49" i="4"/>
  <c r="AO50" i="4"/>
  <c r="AO51" i="4"/>
  <c r="AO52" i="4"/>
  <c r="AO53" i="4"/>
  <c r="AO54" i="4"/>
  <c r="AO55" i="4"/>
  <c r="AO56" i="4"/>
  <c r="AO57" i="4"/>
  <c r="AO58" i="4"/>
  <c r="AO59" i="4"/>
  <c r="AO60" i="4"/>
  <c r="AO6" i="4"/>
  <c r="AM7" i="4"/>
  <c r="AM8" i="4"/>
  <c r="AM9" i="4"/>
  <c r="AM10" i="4"/>
  <c r="AM11" i="4"/>
  <c r="AM12" i="4"/>
  <c r="AM13" i="4"/>
  <c r="AM14" i="4"/>
  <c r="AM15" i="4"/>
  <c r="AM16" i="4"/>
  <c r="AM17" i="4"/>
  <c r="AM18" i="4"/>
  <c r="AM19" i="4"/>
  <c r="AM20" i="4"/>
  <c r="AM21" i="4"/>
  <c r="AM22" i="4"/>
  <c r="AM23" i="4"/>
  <c r="AM24" i="4"/>
  <c r="AM25" i="4"/>
  <c r="AM26" i="4"/>
  <c r="AM27" i="4"/>
  <c r="AM28" i="4"/>
  <c r="AM29" i="4"/>
  <c r="AM30" i="4"/>
  <c r="AM31" i="4"/>
  <c r="AM32" i="4"/>
  <c r="AM33" i="4"/>
  <c r="AM34" i="4"/>
  <c r="AM35" i="4"/>
  <c r="AM36" i="4"/>
  <c r="AM37" i="4"/>
  <c r="AM38" i="4"/>
  <c r="AM39" i="4"/>
  <c r="AM40" i="4"/>
  <c r="AM41" i="4"/>
  <c r="AM42" i="4"/>
  <c r="AM43" i="4"/>
  <c r="AM44" i="4"/>
  <c r="AM45" i="4"/>
  <c r="AM46" i="4"/>
  <c r="AM47" i="4"/>
  <c r="AM48" i="4"/>
  <c r="AM49" i="4"/>
  <c r="AM50" i="4"/>
  <c r="AM51" i="4"/>
  <c r="AM52" i="4"/>
  <c r="AM53" i="4"/>
  <c r="AM54" i="4"/>
  <c r="AM55" i="4"/>
  <c r="AM56" i="4"/>
  <c r="AM57" i="4"/>
  <c r="AM58" i="4"/>
  <c r="AM59" i="4"/>
  <c r="AM60" i="4"/>
  <c r="AM6" i="4"/>
  <c r="AK7" i="4"/>
  <c r="BF7" i="4" s="1"/>
  <c r="AK8" i="4"/>
  <c r="AK9" i="4"/>
  <c r="AK10" i="4"/>
  <c r="BF10" i="4" s="1"/>
  <c r="AK11" i="4"/>
  <c r="AK12" i="4"/>
  <c r="AK13" i="4"/>
  <c r="AK14" i="4"/>
  <c r="AK15" i="4"/>
  <c r="AK16" i="4"/>
  <c r="BF16" i="4" s="1"/>
  <c r="AK17" i="4"/>
  <c r="AK18" i="4"/>
  <c r="BF18" i="4" s="1"/>
  <c r="AK19" i="4"/>
  <c r="BF19" i="4" s="1"/>
  <c r="AK20" i="4"/>
  <c r="AK21" i="4"/>
  <c r="AK22" i="4"/>
  <c r="BF22" i="4" s="1"/>
  <c r="AK23" i="4"/>
  <c r="AK24" i="4"/>
  <c r="AK25" i="4"/>
  <c r="AK26" i="4"/>
  <c r="AK27" i="4"/>
  <c r="AK28" i="4"/>
  <c r="BF28" i="4" s="1"/>
  <c r="AK29" i="4"/>
  <c r="AK30" i="4"/>
  <c r="BF30" i="4" s="1"/>
  <c r="AK31" i="4"/>
  <c r="BF31" i="4" s="1"/>
  <c r="AK32" i="4"/>
  <c r="AK33" i="4"/>
  <c r="AK34" i="4"/>
  <c r="AK35" i="4"/>
  <c r="AK36" i="4"/>
  <c r="AK37" i="4"/>
  <c r="AK38" i="4"/>
  <c r="AK39" i="4"/>
  <c r="AK40" i="4"/>
  <c r="BF40" i="4" s="1"/>
  <c r="AK41" i="4"/>
  <c r="AK42" i="4"/>
  <c r="BF42" i="4" s="1"/>
  <c r="AK43" i="4"/>
  <c r="BF43" i="4" s="1"/>
  <c r="AK44" i="4"/>
  <c r="AK45" i="4"/>
  <c r="AK46" i="4"/>
  <c r="AK47" i="4"/>
  <c r="AK48" i="4"/>
  <c r="AK49" i="4"/>
  <c r="AK50" i="4"/>
  <c r="AK51" i="4"/>
  <c r="AK52" i="4"/>
  <c r="BF52" i="4" s="1"/>
  <c r="AK53" i="4"/>
  <c r="AK54" i="4"/>
  <c r="BF54" i="4" s="1"/>
  <c r="AK55" i="4"/>
  <c r="BF55" i="4" s="1"/>
  <c r="AK56" i="4"/>
  <c r="AK57" i="4"/>
  <c r="AK58" i="4"/>
  <c r="AK59" i="4"/>
  <c r="AK60" i="4"/>
  <c r="AK6" i="4"/>
  <c r="BF53" i="4" l="1"/>
  <c r="BF51" i="4"/>
  <c r="BF39" i="4"/>
  <c r="BF27" i="4"/>
  <c r="BF15" i="4"/>
  <c r="BF17" i="4"/>
  <c r="BF14" i="4"/>
  <c r="BF13" i="4"/>
  <c r="BF48" i="4"/>
  <c r="BF24" i="4"/>
  <c r="BF12" i="4"/>
  <c r="BF29" i="4"/>
  <c r="BF38" i="4"/>
  <c r="BF25" i="4"/>
  <c r="BF60" i="4"/>
  <c r="BF36" i="4"/>
  <c r="BF59" i="4"/>
  <c r="BF47" i="4"/>
  <c r="BF35" i="4"/>
  <c r="BF23" i="4"/>
  <c r="BF11" i="4"/>
  <c r="BF26" i="4"/>
  <c r="BF6" i="4"/>
  <c r="BF5" i="4" s="1"/>
  <c r="BF58" i="4"/>
  <c r="BF41" i="4"/>
  <c r="BF49" i="4"/>
  <c r="BF46" i="4"/>
  <c r="BF34" i="4"/>
  <c r="BF57" i="4"/>
  <c r="BF45" i="4"/>
  <c r="BF33" i="4"/>
  <c r="BF21" i="4"/>
  <c r="BF9" i="4"/>
  <c r="BF50" i="4"/>
  <c r="BF37" i="4"/>
  <c r="BF56" i="4"/>
  <c r="BF44" i="4"/>
  <c r="BF32" i="4"/>
  <c r="BF20" i="4"/>
  <c r="BF8" i="4"/>
  <c r="BM12" i="83"/>
  <c r="H41" i="7"/>
  <c r="I49" i="7"/>
  <c r="J49" i="7" s="1"/>
  <c r="E123" i="67"/>
  <c r="E124" i="67"/>
  <c r="E125" i="67"/>
  <c r="BF4" i="84"/>
  <c r="BF5" i="84"/>
  <c r="BF6" i="84"/>
  <c r="BF7" i="84"/>
  <c r="BL29" i="9"/>
  <c r="BL33" i="9"/>
  <c r="BL55" i="9"/>
  <c r="BL58" i="9"/>
  <c r="BL76" i="9"/>
  <c r="BL77" i="9"/>
  <c r="BG5" i="4"/>
  <c r="BH5" i="4"/>
  <c r="BQ5" i="4"/>
  <c r="I7" i="7" s="1"/>
  <c r="B5" i="7"/>
  <c r="C5" i="7"/>
  <c r="D5" i="7"/>
  <c r="E5" i="7"/>
  <c r="F5" i="7"/>
  <c r="G5" i="7"/>
  <c r="H5" i="7"/>
  <c r="I5" i="7"/>
  <c r="J5" i="7"/>
  <c r="D6" i="7"/>
  <c r="F6" i="7"/>
  <c r="H6" i="7"/>
  <c r="B9" i="7"/>
  <c r="K9" i="7"/>
  <c r="C9" i="7"/>
  <c r="D9" i="7"/>
  <c r="E9" i="7"/>
  <c r="F9" i="7"/>
  <c r="G9" i="7"/>
  <c r="H9" i="7"/>
  <c r="I9" i="7"/>
  <c r="J9" i="7"/>
  <c r="C11" i="7"/>
  <c r="F11" i="7"/>
  <c r="BG5" i="9"/>
  <c r="BI5" i="9"/>
  <c r="BH5" i="9"/>
  <c r="BM5" i="75"/>
  <c r="BH5" i="5"/>
  <c r="BO21" i="78" a="1"/>
  <c r="BO21" i="78" s="1"/>
  <c r="BL5" i="75"/>
  <c r="BJ5" i="9"/>
  <c r="H40" i="7"/>
  <c r="BF5" i="9"/>
  <c r="C21" i="7" s="1"/>
  <c r="H44" i="7"/>
  <c r="BI5" i="75"/>
  <c r="BH11" i="66" l="1"/>
  <c r="BH13" i="66"/>
  <c r="BH7" i="66"/>
  <c r="BH15" i="66"/>
  <c r="I8" i="7"/>
  <c r="I10" i="7"/>
  <c r="E21" i="7"/>
  <c r="BG5" i="75"/>
  <c r="H49" i="7"/>
  <c r="BF5" i="78"/>
  <c r="BF3" i="84"/>
  <c r="BF5" i="83"/>
  <c r="BI5" i="5" l="1"/>
  <c r="BL5" i="4"/>
  <c r="BN5" i="4"/>
  <c r="BK5" i="75"/>
  <c r="BM5" i="4"/>
  <c r="BH5" i="66"/>
  <c r="BG5" i="66"/>
  <c r="BJ5" i="4"/>
  <c r="BG5" i="5"/>
  <c r="BK5" i="4"/>
  <c r="D7" i="7" s="1"/>
  <c r="BH5" i="75"/>
  <c r="BP5" i="4"/>
  <c r="BO5" i="4"/>
  <c r="H7" i="7" s="1"/>
  <c r="BF5" i="5"/>
  <c r="C19" i="7" s="1"/>
  <c r="E19" i="7" s="1"/>
  <c r="D8" i="7" l="1"/>
  <c r="D10" i="7"/>
  <c r="BJ5" i="75"/>
  <c r="E7" i="7" s="1"/>
  <c r="E8" i="7" s="1"/>
  <c r="C20" i="7"/>
  <c r="E20" i="7" s="1"/>
  <c r="BI5" i="66"/>
  <c r="G7" i="7" s="1"/>
  <c r="BR5" i="4"/>
  <c r="C7" i="7"/>
  <c r="F7" i="7"/>
  <c r="C18" i="7"/>
  <c r="H8" i="7"/>
  <c r="H10" i="7"/>
  <c r="BI5" i="4"/>
  <c r="B7" i="7" s="1"/>
  <c r="BJ5" i="5"/>
  <c r="BN5" i="75"/>
  <c r="J7" i="7" l="1"/>
  <c r="J8" i="7" s="1"/>
  <c r="G8" i="7"/>
  <c r="G10" i="7"/>
  <c r="C10" i="7"/>
  <c r="C8" i="7"/>
  <c r="F10" i="7"/>
  <c r="F8" i="7"/>
  <c r="B10" i="7"/>
  <c r="B8" i="7"/>
  <c r="K7" i="7"/>
  <c r="E18" i="7"/>
  <c r="E27" i="7"/>
  <c r="C27" i="7"/>
  <c r="J10" i="7" l="1"/>
  <c r="BF5" i="75" l="1"/>
  <c r="BO5" i="75" l="1"/>
  <c r="C22" i="7"/>
  <c r="E22" i="7" l="1"/>
  <c r="E23" i="7" s="1"/>
  <c r="C28" i="7"/>
  <c r="C23" i="7"/>
  <c r="E28" i="7"/>
  <c r="E26" i="7" s="1"/>
</calcChain>
</file>

<file path=xl/sharedStrings.xml><?xml version="1.0" encoding="utf-8"?>
<sst xmlns="http://schemas.openxmlformats.org/spreadsheetml/2006/main" count="2073" uniqueCount="250">
  <si>
    <t>Распределение нагрузки на</t>
  </si>
  <si>
    <t>№ п/п</t>
  </si>
  <si>
    <t>Наименование дисциплины</t>
  </si>
  <si>
    <t>Спец-ть</t>
  </si>
  <si>
    <t>Семестр</t>
  </si>
  <si>
    <t xml:space="preserve">Количество </t>
  </si>
  <si>
    <t>Конс.</t>
  </si>
  <si>
    <t>КР</t>
  </si>
  <si>
    <t>Уч.пр.</t>
  </si>
  <si>
    <t>ГАК</t>
  </si>
  <si>
    <t>ВСЕГО</t>
  </si>
  <si>
    <t>студентов</t>
  </si>
  <si>
    <t>недель</t>
  </si>
  <si>
    <t>групп</t>
  </si>
  <si>
    <t>подгрупп</t>
  </si>
  <si>
    <t>0,4*ст-в</t>
  </si>
  <si>
    <t>0,25*ст-в</t>
  </si>
  <si>
    <t>2*ст-в</t>
  </si>
  <si>
    <t>3*ст-в</t>
  </si>
  <si>
    <t>2ч*5дн*групп*недель</t>
  </si>
  <si>
    <t>3ч*ст-в</t>
  </si>
  <si>
    <t>Вакансия</t>
  </si>
  <si>
    <t>КП</t>
  </si>
  <si>
    <t>6ч*5дн*групп*недель</t>
  </si>
  <si>
    <t>Преддипл пр</t>
  </si>
  <si>
    <t>1ч*ст-в*недель</t>
  </si>
  <si>
    <t>2ч*ст-в</t>
  </si>
  <si>
    <t>0,75ч*ст-в</t>
  </si>
  <si>
    <t>Конт задания заочн</t>
  </si>
  <si>
    <t>ГЭК</t>
  </si>
  <si>
    <t>ГАК предс</t>
  </si>
  <si>
    <t>0,5ч*ст-в*6 членов</t>
  </si>
  <si>
    <t>0,5ч*ст-в*5 членов</t>
  </si>
  <si>
    <t>ДП Рук</t>
  </si>
  <si>
    <t>ДП экономика</t>
  </si>
  <si>
    <t>ДП БЖД</t>
  </si>
  <si>
    <t>ДП рецензии</t>
  </si>
  <si>
    <t>Аспиранты</t>
  </si>
  <si>
    <t>50ч*ст-в</t>
  </si>
  <si>
    <t>ПОВТ</t>
  </si>
  <si>
    <t>Форма обучения (о, з)</t>
  </si>
  <si>
    <t>о</t>
  </si>
  <si>
    <t>0,05(0,15)*Лек+2ч.э.*Групп</t>
  </si>
  <si>
    <t>Лекции</t>
  </si>
  <si>
    <t>Практич работы</t>
  </si>
  <si>
    <t>Лабораторн работы</t>
  </si>
  <si>
    <t>По плану</t>
  </si>
  <si>
    <t>Эказмены</t>
  </si>
  <si>
    <t>Зачеты</t>
  </si>
  <si>
    <t>РГР</t>
  </si>
  <si>
    <t>Учебные практики</t>
  </si>
  <si>
    <t>Произв практики</t>
  </si>
  <si>
    <t>Преддипломные практики</t>
  </si>
  <si>
    <t>Конирольные задания заоч.</t>
  </si>
  <si>
    <t>ГАК председатель</t>
  </si>
  <si>
    <t>ДП Руководство</t>
  </si>
  <si>
    <t>Фактически</t>
  </si>
  <si>
    <t>Произв. практика</t>
  </si>
  <si>
    <t>30ч*ст-в</t>
  </si>
  <si>
    <t>Магистранты рук.</t>
  </si>
  <si>
    <t>Магистранты рецензир.</t>
  </si>
  <si>
    <t>4ч*ст-в</t>
  </si>
  <si>
    <t>Руководство кафедрой</t>
  </si>
  <si>
    <t>60ч</t>
  </si>
  <si>
    <t>проф.</t>
  </si>
  <si>
    <t>доц.</t>
  </si>
  <si>
    <t>асс.</t>
  </si>
  <si>
    <t>Специальность</t>
  </si>
  <si>
    <t>Курс</t>
  </si>
  <si>
    <t>Кол-во студентов</t>
  </si>
  <si>
    <t>Фак-т</t>
  </si>
  <si>
    <t>ГФ</t>
  </si>
  <si>
    <t>Прим.</t>
  </si>
  <si>
    <t>ПИЭ</t>
  </si>
  <si>
    <t>ИСТ</t>
  </si>
  <si>
    <t>Технология программирования</t>
  </si>
  <si>
    <t>Калабин А.Л.</t>
  </si>
  <si>
    <t>Факультет</t>
  </si>
  <si>
    <t>Итого</t>
  </si>
  <si>
    <t>Структуры и алгоритмы обработки данных</t>
  </si>
  <si>
    <t>уч. год</t>
  </si>
  <si>
    <t>Объектно-ориентир. программирование</t>
  </si>
  <si>
    <t>Интрасетевые приложения в АУ</t>
  </si>
  <si>
    <t>Базы данных</t>
  </si>
  <si>
    <t>Методы и средства защиты комп. информации</t>
  </si>
  <si>
    <t>Технология поиска web-информации</t>
  </si>
  <si>
    <t>Производственная практика</t>
  </si>
  <si>
    <t>Преддипломная практика</t>
  </si>
  <si>
    <t>ДП рук.</t>
  </si>
  <si>
    <t>з</t>
  </si>
  <si>
    <t>ЗФ</t>
  </si>
  <si>
    <t>0,75*ч*ст-в</t>
  </si>
  <si>
    <t>0,5ч*ст-в</t>
  </si>
  <si>
    <t>Экзамены</t>
  </si>
  <si>
    <t>19(17)ч*ст-в</t>
  </si>
  <si>
    <t>Архитектура вычислительных систем</t>
  </si>
  <si>
    <t>21ч*ст-в</t>
  </si>
  <si>
    <t>Котлинский С.В. ПОВТ</t>
  </si>
  <si>
    <t>Мальков А.А. ПОВТ</t>
  </si>
  <si>
    <t>Биллиг В.А. ПОВТ</t>
  </si>
  <si>
    <t>Честнодумов ПОВТ</t>
  </si>
  <si>
    <t>Семилетова Л.В. ПОВТ</t>
  </si>
  <si>
    <t/>
  </si>
  <si>
    <t xml:space="preserve"> </t>
  </si>
  <si>
    <t>Прохныч А.Н. ПОВТ</t>
  </si>
  <si>
    <t>Основы теории нечетких множеств</t>
  </si>
  <si>
    <t>распечатать</t>
  </si>
  <si>
    <t>распечтать</t>
  </si>
  <si>
    <t>что-то сделать</t>
  </si>
  <si>
    <t>Интеллектуальные информационные системы</t>
  </si>
  <si>
    <t>Человеко-машинное взаимодействие</t>
  </si>
  <si>
    <t>Нагрузка 2009-2010</t>
  </si>
  <si>
    <t>ИС</t>
  </si>
  <si>
    <t>Технология использования Интернет-почты</t>
  </si>
  <si>
    <t>Выпускная работа бакалавров + ГАК</t>
  </si>
  <si>
    <t>ИВТ</t>
  </si>
  <si>
    <t>Модели и методы вычислительных систем</t>
  </si>
  <si>
    <t>Специальные главы высшей математики</t>
  </si>
  <si>
    <t>Эксплуатация средств вычислительной техники</t>
  </si>
  <si>
    <t>А</t>
  </si>
  <si>
    <t>Ставки</t>
  </si>
  <si>
    <t>почасовики</t>
  </si>
  <si>
    <t>Тестирование</t>
  </si>
  <si>
    <t>Параллельные вычисления</t>
  </si>
  <si>
    <t>Котлинский Сергей Владимирович</t>
  </si>
  <si>
    <t>Прохныч Алексей Николаевич</t>
  </si>
  <si>
    <t>Семилетова Любовь Васильевна</t>
  </si>
  <si>
    <t xml:space="preserve"> Web технологии</t>
  </si>
  <si>
    <t>Современные проблемы информатики и вычислительной техники</t>
  </si>
  <si>
    <t>????????</t>
  </si>
  <si>
    <t>вакансия</t>
  </si>
  <si>
    <t>Калабин Александр Леонидович</t>
  </si>
  <si>
    <t xml:space="preserve">Биллиг Владимир Арнольдович </t>
  </si>
  <si>
    <t>Честнодумов Станислав Игоревич</t>
  </si>
  <si>
    <t>Мальков Александр Анатольевич</t>
  </si>
  <si>
    <t xml:space="preserve">Борисов Николай Анатольевич </t>
  </si>
  <si>
    <t>Артемов Игорь</t>
  </si>
  <si>
    <t>1. Дисциплины уч плана магистров</t>
  </si>
  <si>
    <t>2. Часы  дисциплин уч плана магистров</t>
  </si>
  <si>
    <t>3. Сумма часов нагрузки ППС</t>
  </si>
  <si>
    <t>4. Индивидуальные планы</t>
  </si>
  <si>
    <t>1-й семестр</t>
  </si>
  <si>
    <t>2-й семестр</t>
  </si>
  <si>
    <t>LG Экономика и упр произ-м</t>
  </si>
  <si>
    <t xml:space="preserve">Экономика ДР </t>
  </si>
  <si>
    <t>СРОЧНО</t>
  </si>
  <si>
    <t>Проверить уч план магистров с этим файлом !!!!!!!!!!!!!!!!!!!!!!!!!!!!!!!!!!!!</t>
  </si>
  <si>
    <t>Определить расчасовку по дисциплинам</t>
  </si>
  <si>
    <t>Определить замену дисциплин</t>
  </si>
  <si>
    <t>S</t>
  </si>
  <si>
    <t>Отделить почасовую от инд плана</t>
  </si>
  <si>
    <t>Заполнить инд план</t>
  </si>
  <si>
    <t>Нагрузку по ППС</t>
  </si>
  <si>
    <t>бдж</t>
  </si>
  <si>
    <t>почас</t>
  </si>
  <si>
    <t>S 2</t>
  </si>
  <si>
    <t>Finish</t>
  </si>
  <si>
    <t>v01</t>
  </si>
  <si>
    <t>Ввести новый учебный план + рабочий план</t>
  </si>
  <si>
    <t>Введение в специальность</t>
  </si>
  <si>
    <t>Козлов</t>
  </si>
  <si>
    <t>№</t>
  </si>
  <si>
    <t>Ф.И.О.</t>
  </si>
  <si>
    <t xml:space="preserve">Должность </t>
  </si>
  <si>
    <t>Профессор</t>
  </si>
  <si>
    <t>Доцент</t>
  </si>
  <si>
    <t>Супонев Николай Петрович</t>
  </si>
  <si>
    <t>Югов Иван Олегович</t>
  </si>
  <si>
    <t>Ст. препод.</t>
  </si>
  <si>
    <t>Артемов Игорь Юрьевич</t>
  </si>
  <si>
    <t>Ассистент</t>
  </si>
  <si>
    <t>Мохонь Е. С.</t>
  </si>
  <si>
    <t>Грязнов Е.Н.</t>
  </si>
  <si>
    <t>Козлов А.В.</t>
  </si>
  <si>
    <t>Зав. каф. Профессор</t>
  </si>
  <si>
    <t>Рабочий план кафедры ПОВТ</t>
  </si>
  <si>
    <t>Рабочий план специальности  ПОВТ</t>
  </si>
  <si>
    <t>Чст</t>
  </si>
  <si>
    <t>Юг/Бор</t>
  </si>
  <si>
    <t>?? Клб</t>
  </si>
  <si>
    <t>? Юг</t>
  </si>
  <si>
    <t>?Суп</t>
  </si>
  <si>
    <t>Основные направления кафедры НИС и учеба</t>
  </si>
  <si>
    <t>1С</t>
  </si>
  <si>
    <t>ОО программирование</t>
  </si>
  <si>
    <t>ПОВТ на ИС</t>
  </si>
  <si>
    <t>ЗВ Инна закреплено за ПОВТ</t>
  </si>
  <si>
    <t>ст. преп</t>
  </si>
  <si>
    <t>Артемов И.Ю.</t>
  </si>
  <si>
    <t xml:space="preserve">Биллиг В.А. </t>
  </si>
  <si>
    <t>Честнодумов И.С.</t>
  </si>
  <si>
    <t>? 2-й семестр</t>
  </si>
  <si>
    <t>? 1-й семестр</t>
  </si>
  <si>
    <t>надо добавить</t>
  </si>
  <si>
    <t>тестирование</t>
  </si>
  <si>
    <t>Параллель</t>
  </si>
  <si>
    <t>Научно-исследовательская практика ????</t>
  </si>
  <si>
    <r>
      <t xml:space="preserve">S </t>
    </r>
    <r>
      <rPr>
        <sz val="10"/>
        <rFont val="Times New Roman"/>
        <family val="1"/>
        <charset val="204"/>
      </rPr>
      <t>по фак-м</t>
    </r>
  </si>
  <si>
    <r>
      <t xml:space="preserve">S </t>
    </r>
    <r>
      <rPr>
        <sz val="10"/>
        <rFont val="Times New Roman"/>
        <family val="1"/>
        <charset val="204"/>
      </rPr>
      <t>по ФИО</t>
    </r>
  </si>
  <si>
    <t>Звонить уточнить !!!!!!</t>
  </si>
  <si>
    <t>магистры и студеты 5к</t>
  </si>
  <si>
    <t>Югов И.В.</t>
  </si>
  <si>
    <t>Югов И.О.</t>
  </si>
  <si>
    <t>ДО</t>
  </si>
  <si>
    <t>НТС</t>
  </si>
  <si>
    <t>ПИН</t>
  </si>
  <si>
    <t>Научно-исследовательская работа</t>
  </si>
  <si>
    <t>Научно-исследовательская практика</t>
  </si>
  <si>
    <t>Ставки студенты</t>
  </si>
  <si>
    <t>Ставки магистров</t>
  </si>
  <si>
    <t>ni</t>
  </si>
  <si>
    <t>Денис</t>
  </si>
  <si>
    <t>ФИТ</t>
  </si>
  <si>
    <t>МСФ</t>
  </si>
  <si>
    <t xml:space="preserve">Дехтярь </t>
  </si>
  <si>
    <t>Вегера</t>
  </si>
  <si>
    <t>Шустиков</t>
  </si>
  <si>
    <t>аспиранты</t>
  </si>
  <si>
    <t>общие</t>
  </si>
  <si>
    <t>не не распределенные</t>
  </si>
  <si>
    <t>аудиторные</t>
  </si>
  <si>
    <t>КозловА.В.</t>
  </si>
  <si>
    <t xml:space="preserve"> 2013-2014</t>
  </si>
  <si>
    <t>Мальков А.А.</t>
  </si>
  <si>
    <t>2013-2014</t>
  </si>
  <si>
    <t>Магистры_ПИН</t>
  </si>
  <si>
    <t>Магистры</t>
  </si>
  <si>
    <t>Часы</t>
  </si>
  <si>
    <t>Козлов  Александр Владимирович</t>
  </si>
  <si>
    <t>Соколов Денис Геннадьевич</t>
  </si>
  <si>
    <t>Лепшова</t>
  </si>
  <si>
    <t>Грязнов</t>
  </si>
  <si>
    <t>Боброва</t>
  </si>
  <si>
    <t>???</t>
  </si>
  <si>
    <t xml:space="preserve">Виноградов </t>
  </si>
  <si>
    <t>Шустиков Д.А.</t>
  </si>
  <si>
    <t>Серверное Web-программирование (В)</t>
  </si>
  <si>
    <t>коррекция уч плана 1 курс Комп графика</t>
  </si>
  <si>
    <t>доц</t>
  </si>
  <si>
    <t>1 сем</t>
  </si>
  <si>
    <t>2 сем</t>
  </si>
  <si>
    <t>Компьюторный практикум программирования</t>
  </si>
  <si>
    <t>Прохныч А.Н.</t>
  </si>
  <si>
    <t>Биллиг В.А.</t>
  </si>
  <si>
    <t>уч нагрузка магистров  МАА</t>
  </si>
  <si>
    <t>Котлинский С.В.</t>
  </si>
  <si>
    <t>Боброва Е.И.</t>
  </si>
  <si>
    <t xml:space="preserve">Распределение нагрузки на   </t>
  </si>
  <si>
    <t>Корнеева Е.И.</t>
  </si>
  <si>
    <t>Пиджакова Л.М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</si>
</sst>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7" x14ac:knownFonts="1">
    <font>
      <sz val="10"/>
      <name val="Arial Cyr"/>
      <charset val="204"/>
    </font>
    <font>
      <sz val="10"/>
      <name val="Arial Cyr"/>
      <charset val="204"/>
    </font>
    <font>
      <b/>
      <sz val="10"/>
      <name val="Arial Cyr"/>
      <charset val="204"/>
    </font>
    <font>
      <sz val="14"/>
      <name val="Times New Roman"/>
      <family val="1"/>
      <charset val="204"/>
    </font>
    <font>
      <sz val="8"/>
      <name val="Arial Cyr"/>
      <charset val="204"/>
    </font>
    <font>
      <sz val="7"/>
      <name val="Times New Roman"/>
      <family val="1"/>
      <charset val="204"/>
    </font>
    <font>
      <b/>
      <sz val="7"/>
      <name val="Times New Roman"/>
      <family val="1"/>
      <charset val="204"/>
    </font>
    <font>
      <sz val="6"/>
      <name val="Times New Roman"/>
      <family val="1"/>
      <charset val="204"/>
    </font>
    <font>
      <sz val="9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Arial Cyr"/>
      <charset val="204"/>
    </font>
    <font>
      <sz val="10"/>
      <name val="Times New Roman"/>
      <family val="1"/>
      <charset val="204"/>
    </font>
    <font>
      <sz val="10"/>
      <name val="Arial Cyr"/>
      <charset val="204"/>
    </font>
    <font>
      <b/>
      <sz val="10"/>
      <name val="Times New Roman"/>
      <family val="1"/>
      <charset val="204"/>
    </font>
    <font>
      <sz val="8"/>
      <name val="Times New Roman"/>
      <family val="1"/>
      <charset val="204"/>
    </font>
    <font>
      <sz val="12"/>
      <name val="Times New Roman"/>
      <family val="1"/>
      <charset val="204"/>
    </font>
    <font>
      <sz val="12"/>
      <name val="Arial Cyr"/>
      <charset val="204"/>
    </font>
    <font>
      <u/>
      <sz val="10"/>
      <color indexed="12"/>
      <name val="Arial Cyr"/>
      <charset val="204"/>
    </font>
    <font>
      <sz val="9"/>
      <name val="Arial Cyr"/>
      <charset val="204"/>
    </font>
    <font>
      <sz val="9"/>
      <name val="Courier New"/>
      <family val="3"/>
      <charset val="204"/>
    </font>
    <font>
      <b/>
      <sz val="12"/>
      <name val="Times New Roman"/>
      <family val="1"/>
      <charset val="204"/>
    </font>
    <font>
      <b/>
      <sz val="8"/>
      <name val="Times New Roman"/>
      <family val="1"/>
      <charset val="204"/>
    </font>
    <font>
      <sz val="10"/>
      <name val="Arial Cyr"/>
    </font>
    <font>
      <sz val="10"/>
      <name val="Symbol"/>
      <family val="1"/>
      <charset val="2"/>
    </font>
    <font>
      <i/>
      <sz val="12"/>
      <name val="Times New Roman"/>
      <family val="1"/>
      <charset val="204"/>
    </font>
    <font>
      <b/>
      <sz val="6"/>
      <name val="Times New Roman"/>
      <family val="1"/>
      <charset val="204"/>
    </font>
    <font>
      <sz val="11"/>
      <color rgb="FF9C0006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17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26" fillId="9" borderId="0" applyNumberFormat="0" applyBorder="0" applyAlignment="0" applyProtection="0"/>
  </cellStyleXfs>
  <cellXfs count="331">
    <xf numFmtId="0" fontId="0" fillId="0" borderId="0" xfId="0"/>
    <xf numFmtId="0" fontId="2" fillId="0" borderId="0" xfId="0" applyFont="1"/>
    <xf numFmtId="0" fontId="3" fillId="0" borderId="0" xfId="0" applyFont="1" applyFill="1"/>
    <xf numFmtId="0" fontId="7" fillId="0" borderId="1" xfId="0" applyFont="1" applyFill="1" applyBorder="1" applyAlignment="1">
      <alignment horizontal="center"/>
    </xf>
    <xf numFmtId="0" fontId="5" fillId="0" borderId="2" xfId="0" applyFont="1" applyFill="1" applyBorder="1" applyAlignment="1">
      <alignment textRotation="90"/>
    </xf>
    <xf numFmtId="0" fontId="5" fillId="0" borderId="2" xfId="0" applyFont="1" applyFill="1" applyBorder="1" applyAlignment="1">
      <alignment horizontal="center" textRotation="90"/>
    </xf>
    <xf numFmtId="0" fontId="8" fillId="0" borderId="0" xfId="0" applyFont="1"/>
    <xf numFmtId="0" fontId="5" fillId="0" borderId="3" xfId="0" applyFont="1" applyFill="1" applyBorder="1" applyAlignment="1">
      <alignment horizontal="center" textRotation="90"/>
    </xf>
    <xf numFmtId="0" fontId="7" fillId="0" borderId="1" xfId="0" applyFont="1" applyFill="1" applyBorder="1" applyAlignment="1">
      <alignment horizontal="center" textRotation="90"/>
    </xf>
    <xf numFmtId="0" fontId="10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7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 textRotation="90"/>
    </xf>
    <xf numFmtId="0" fontId="5" fillId="0" borderId="9" xfId="0" applyFont="1" applyFill="1" applyBorder="1" applyAlignment="1">
      <alignment horizontal="center" textRotation="90"/>
    </xf>
    <xf numFmtId="0" fontId="5" fillId="0" borderId="10" xfId="0" applyFont="1" applyFill="1" applyBorder="1" applyAlignment="1">
      <alignment horizontal="center" textRotation="90"/>
    </xf>
    <xf numFmtId="0" fontId="5" fillId="0" borderId="11" xfId="0" applyFont="1" applyFill="1" applyBorder="1" applyAlignment="1">
      <alignment horizontal="center" textRotation="90"/>
    </xf>
    <xf numFmtId="0" fontId="8" fillId="0" borderId="2" xfId="0" applyFont="1" applyBorder="1"/>
    <xf numFmtId="0" fontId="9" fillId="0" borderId="2" xfId="0" applyFont="1" applyBorder="1"/>
    <xf numFmtId="0" fontId="5" fillId="0" borderId="9" xfId="0" applyFont="1" applyFill="1" applyBorder="1" applyAlignment="1">
      <alignment textRotation="90"/>
    </xf>
    <xf numFmtId="0" fontId="5" fillId="0" borderId="0" xfId="0" applyFont="1" applyFill="1" applyBorder="1" applyAlignment="1">
      <alignment horizontal="center" vertical="center" wrapText="1"/>
    </xf>
    <xf numFmtId="0" fontId="5" fillId="0" borderId="16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/>
    </xf>
    <xf numFmtId="0" fontId="5" fillId="0" borderId="17" xfId="0" applyFont="1" applyFill="1" applyBorder="1" applyAlignment="1">
      <alignment horizontal="center" textRotation="90"/>
    </xf>
    <xf numFmtId="0" fontId="1" fillId="0" borderId="0" xfId="0" applyFont="1"/>
    <xf numFmtId="0" fontId="11" fillId="0" borderId="0" xfId="0" applyFont="1" applyFill="1"/>
    <xf numFmtId="0" fontId="12" fillId="0" borderId="0" xfId="0" applyFont="1"/>
    <xf numFmtId="0" fontId="13" fillId="0" borderId="0" xfId="0" applyFont="1" applyFill="1"/>
    <xf numFmtId="0" fontId="0" fillId="0" borderId="2" xfId="0" applyBorder="1"/>
    <xf numFmtId="0" fontId="5" fillId="0" borderId="18" xfId="0" applyFont="1" applyFill="1" applyBorder="1" applyAlignment="1">
      <alignment horizontal="center" textRotation="90"/>
    </xf>
    <xf numFmtId="0" fontId="5" fillId="0" borderId="19" xfId="0" applyFont="1" applyFill="1" applyBorder="1" applyAlignment="1">
      <alignment horizontal="center" textRotation="90"/>
    </xf>
    <xf numFmtId="0" fontId="5" fillId="0" borderId="14" xfId="0" applyFont="1" applyFill="1" applyBorder="1" applyAlignment="1">
      <alignment horizontal="center" textRotation="90"/>
    </xf>
    <xf numFmtId="0" fontId="5" fillId="0" borderId="15" xfId="0" applyFont="1" applyFill="1" applyBorder="1" applyAlignment="1">
      <alignment horizontal="center" textRotation="90"/>
    </xf>
    <xf numFmtId="0" fontId="8" fillId="0" borderId="3" xfId="0" applyFont="1" applyBorder="1"/>
    <xf numFmtId="0" fontId="9" fillId="0" borderId="8" xfId="0" applyFont="1" applyBorder="1"/>
    <xf numFmtId="0" fontId="8" fillId="0" borderId="8" xfId="0" applyFont="1" applyBorder="1"/>
    <xf numFmtId="0" fontId="8" fillId="0" borderId="10" xfId="0" applyFont="1" applyBorder="1"/>
    <xf numFmtId="0" fontId="5" fillId="0" borderId="2" xfId="0" applyFont="1" applyFill="1" applyBorder="1" applyAlignment="1">
      <alignment textRotation="90" wrapText="1"/>
    </xf>
    <xf numFmtId="0" fontId="5" fillId="0" borderId="2" xfId="0" applyFont="1" applyFill="1" applyBorder="1" applyAlignment="1">
      <alignment horizontal="center" textRotation="90" wrapText="1"/>
    </xf>
    <xf numFmtId="0" fontId="8" fillId="2" borderId="2" xfId="0" applyFont="1" applyFill="1" applyBorder="1"/>
    <xf numFmtId="0" fontId="8" fillId="3" borderId="2" xfId="0" applyFont="1" applyFill="1" applyBorder="1"/>
    <xf numFmtId="0" fontId="0" fillId="4" borderId="2" xfId="0" applyFill="1" applyBorder="1"/>
    <xf numFmtId="0" fontId="8" fillId="0" borderId="2" xfId="0" applyFont="1" applyFill="1" applyBorder="1"/>
    <xf numFmtId="0" fontId="15" fillId="0" borderId="8" xfId="0" applyFont="1" applyFill="1" applyBorder="1" applyAlignment="1">
      <alignment horizontal="center" textRotation="90"/>
    </xf>
    <xf numFmtId="0" fontId="15" fillId="0" borderId="7" xfId="0" applyFont="1" applyFill="1" applyBorder="1" applyAlignment="1">
      <alignment horizontal="center" textRotation="90"/>
    </xf>
    <xf numFmtId="0" fontId="16" fillId="0" borderId="0" xfId="0" applyFont="1"/>
    <xf numFmtId="0" fontId="0" fillId="4" borderId="0" xfId="0" applyFill="1"/>
    <xf numFmtId="0" fontId="15" fillId="0" borderId="1" xfId="0" applyFont="1" applyFill="1" applyBorder="1" applyAlignment="1">
      <alignment horizontal="center"/>
    </xf>
    <xf numFmtId="0" fontId="15" fillId="4" borderId="8" xfId="0" applyFont="1" applyFill="1" applyBorder="1" applyAlignment="1">
      <alignment horizontal="center" textRotation="90"/>
    </xf>
    <xf numFmtId="0" fontId="6" fillId="0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14" fontId="0" fillId="0" borderId="0" xfId="0" applyNumberFormat="1"/>
    <xf numFmtId="0" fontId="8" fillId="0" borderId="2" xfId="0" applyFont="1" applyBorder="1" applyAlignment="1">
      <alignment horizontal="left" vertical="top" wrapText="1"/>
    </xf>
    <xf numFmtId="49" fontId="8" fillId="0" borderId="2" xfId="0" applyNumberFormat="1" applyFont="1" applyFill="1" applyBorder="1" applyAlignment="1" applyProtection="1">
      <alignment horizontal="left" vertical="top" wrapText="1"/>
    </xf>
    <xf numFmtId="0" fontId="18" fillId="0" borderId="2" xfId="0" applyFont="1" applyFill="1" applyBorder="1" applyAlignment="1">
      <alignment horizontal="left"/>
    </xf>
    <xf numFmtId="0" fontId="9" fillId="0" borderId="0" xfId="0" applyFont="1"/>
    <xf numFmtId="0" fontId="16" fillId="0" borderId="0" xfId="0" applyFont="1" applyAlignment="1"/>
    <xf numFmtId="0" fontId="19" fillId="0" borderId="0" xfId="0" applyFont="1"/>
    <xf numFmtId="0" fontId="17" fillId="0" borderId="0" xfId="1" applyAlignment="1" applyProtection="1"/>
    <xf numFmtId="0" fontId="8" fillId="5" borderId="2" xfId="0" applyFont="1" applyFill="1" applyBorder="1"/>
    <xf numFmtId="0" fontId="8" fillId="3" borderId="2" xfId="0" applyFont="1" applyFill="1" applyBorder="1" applyAlignment="1">
      <alignment wrapText="1"/>
    </xf>
    <xf numFmtId="0" fontId="8" fillId="6" borderId="0" xfId="0" applyFont="1" applyFill="1" applyAlignment="1">
      <alignment wrapText="1"/>
    </xf>
    <xf numFmtId="0" fontId="0" fillId="0" borderId="0" xfId="0" applyAlignment="1">
      <alignment wrapText="1"/>
    </xf>
    <xf numFmtId="0" fontId="20" fillId="0" borderId="2" xfId="0" applyFont="1" applyFill="1" applyBorder="1"/>
    <xf numFmtId="0" fontId="0" fillId="0" borderId="0" xfId="0" applyBorder="1"/>
    <xf numFmtId="0" fontId="20" fillId="0" borderId="0" xfId="0" applyFont="1" applyFill="1" applyBorder="1"/>
    <xf numFmtId="0" fontId="9" fillId="0" borderId="8" xfId="0" applyFont="1" applyFill="1" applyBorder="1" applyAlignment="1">
      <alignment horizontal="center"/>
    </xf>
    <xf numFmtId="0" fontId="8" fillId="3" borderId="0" xfId="0" applyFont="1" applyFill="1" applyBorder="1"/>
    <xf numFmtId="49" fontId="8" fillId="0" borderId="20" xfId="0" applyNumberFormat="1" applyFont="1" applyFill="1" applyBorder="1" applyAlignment="1" applyProtection="1">
      <alignment horizontal="left" vertical="top" wrapText="1"/>
    </xf>
    <xf numFmtId="0" fontId="0" fillId="0" borderId="8" xfId="0" applyBorder="1"/>
    <xf numFmtId="0" fontId="22" fillId="0" borderId="0" xfId="0" applyFont="1"/>
    <xf numFmtId="0" fontId="23" fillId="0" borderId="0" xfId="0" applyFont="1"/>
    <xf numFmtId="0" fontId="8" fillId="0" borderId="0" xfId="0" applyFont="1" applyFill="1" applyBorder="1" applyAlignment="1">
      <alignment horizontal="center"/>
    </xf>
    <xf numFmtId="0" fontId="0" fillId="5" borderId="0" xfId="0" applyFill="1"/>
    <xf numFmtId="0" fontId="8" fillId="7" borderId="2" xfId="0" applyFont="1" applyFill="1" applyBorder="1"/>
    <xf numFmtId="0" fontId="8" fillId="2" borderId="2" xfId="0" applyFont="1" applyFill="1" applyBorder="1" applyAlignment="1">
      <alignment wrapText="1"/>
    </xf>
    <xf numFmtId="0" fontId="11" fillId="0" borderId="0" xfId="0" applyFont="1" applyAlignment="1">
      <alignment wrapText="1"/>
    </xf>
    <xf numFmtId="0" fontId="0" fillId="0" borderId="0" xfId="0" applyFill="1"/>
    <xf numFmtId="0" fontId="15" fillId="0" borderId="21" xfId="0" applyFont="1" applyBorder="1" applyAlignment="1">
      <alignment vertical="top" wrapText="1"/>
    </xf>
    <xf numFmtId="0" fontId="15" fillId="0" borderId="22" xfId="0" applyFont="1" applyBorder="1" applyAlignment="1">
      <alignment horizontal="center"/>
    </xf>
    <xf numFmtId="0" fontId="3" fillId="0" borderId="0" xfId="0" applyFont="1"/>
    <xf numFmtId="0" fontId="24" fillId="0" borderId="23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15" fillId="0" borderId="6" xfId="0" applyFont="1" applyBorder="1" applyAlignment="1">
      <alignment horizontal="center" vertical="top" wrapText="1"/>
    </xf>
    <xf numFmtId="0" fontId="15" fillId="0" borderId="21" xfId="0" applyFont="1" applyBorder="1"/>
    <xf numFmtId="0" fontId="15" fillId="0" borderId="0" xfId="0" applyFont="1" applyFill="1" applyBorder="1"/>
    <xf numFmtId="0" fontId="8" fillId="0" borderId="12" xfId="0" applyFont="1" applyFill="1" applyBorder="1"/>
    <xf numFmtId="0" fontId="9" fillId="0" borderId="2" xfId="0" applyFont="1" applyFill="1" applyBorder="1"/>
    <xf numFmtId="0" fontId="8" fillId="0" borderId="0" xfId="0" applyFont="1" applyFill="1" applyBorder="1" applyAlignment="1">
      <alignment wrapText="1"/>
    </xf>
    <xf numFmtId="14" fontId="11" fillId="0" borderId="0" xfId="0" applyNumberFormat="1" applyFont="1" applyAlignment="1">
      <alignment horizontal="left"/>
    </xf>
    <xf numFmtId="0" fontId="9" fillId="0" borderId="2" xfId="0" applyFont="1" applyFill="1" applyBorder="1" applyAlignment="1">
      <alignment horizontal="center"/>
    </xf>
    <xf numFmtId="0" fontId="2" fillId="0" borderId="0" xfId="0" applyFont="1" applyAlignment="1"/>
    <xf numFmtId="0" fontId="8" fillId="0" borderId="0" xfId="0" applyNumberFormat="1" applyFont="1"/>
    <xf numFmtId="0" fontId="5" fillId="0" borderId="12" xfId="0" applyFont="1" applyFill="1" applyBorder="1" applyAlignment="1">
      <alignment horizontal="center" textRotation="90"/>
    </xf>
    <xf numFmtId="0" fontId="5" fillId="0" borderId="12" xfId="0" applyFont="1" applyFill="1" applyBorder="1" applyAlignment="1">
      <alignment horizontal="center" textRotation="90" wrapText="1"/>
    </xf>
    <xf numFmtId="0" fontId="6" fillId="0" borderId="2" xfId="0" applyFont="1" applyFill="1" applyBorder="1" applyAlignment="1">
      <alignment horizontal="center" vertical="center" textRotation="255"/>
    </xf>
    <xf numFmtId="0" fontId="25" fillId="0" borderId="2" xfId="0" applyFont="1" applyFill="1" applyBorder="1" applyAlignment="1">
      <alignment horizontal="center" vertical="center" textRotation="255"/>
    </xf>
    <xf numFmtId="0" fontId="11" fillId="0" borderId="0" xfId="0" applyFont="1"/>
    <xf numFmtId="0" fontId="13" fillId="0" borderId="0" xfId="0" applyFont="1"/>
    <xf numFmtId="0" fontId="7" fillId="0" borderId="0" xfId="0" applyFont="1"/>
    <xf numFmtId="0" fontId="25" fillId="0" borderId="1" xfId="0" applyFont="1" applyFill="1" applyBorder="1" applyAlignment="1">
      <alignment horizontal="center"/>
    </xf>
    <xf numFmtId="0" fontId="25" fillId="0" borderId="1" xfId="0" applyFont="1" applyFill="1" applyBorder="1" applyAlignment="1">
      <alignment horizontal="center" textRotation="90"/>
    </xf>
    <xf numFmtId="0" fontId="6" fillId="0" borderId="7" xfId="0" applyFont="1" applyFill="1" applyBorder="1" applyAlignment="1">
      <alignment horizontal="center" textRotation="90"/>
    </xf>
    <xf numFmtId="0" fontId="6" fillId="0" borderId="8" xfId="0" applyFont="1" applyFill="1" applyBorder="1" applyAlignment="1">
      <alignment horizontal="center" textRotation="90"/>
    </xf>
    <xf numFmtId="0" fontId="6" fillId="0" borderId="3" xfId="0" applyFont="1" applyFill="1" applyBorder="1" applyAlignment="1">
      <alignment horizontal="center" textRotation="90"/>
    </xf>
    <xf numFmtId="0" fontId="6" fillId="0" borderId="10" xfId="0" applyFont="1" applyFill="1" applyBorder="1" applyAlignment="1">
      <alignment horizontal="center" textRotation="90"/>
    </xf>
    <xf numFmtId="0" fontId="25" fillId="0" borderId="0" xfId="0" applyFont="1"/>
    <xf numFmtId="0" fontId="9" fillId="0" borderId="2" xfId="0" applyFont="1" applyFill="1" applyBorder="1" applyAlignment="1">
      <alignment horizontal="center" textRotation="90"/>
    </xf>
    <xf numFmtId="0" fontId="6" fillId="0" borderId="16" xfId="0" applyFont="1" applyFill="1" applyBorder="1" applyAlignment="1">
      <alignment horizontal="center" vertical="center" textRotation="255"/>
    </xf>
    <xf numFmtId="0" fontId="5" fillId="0" borderId="27" xfId="0" applyFont="1" applyFill="1" applyBorder="1" applyAlignment="1">
      <alignment horizontal="center" textRotation="90"/>
    </xf>
    <xf numFmtId="0" fontId="5" fillId="0" borderId="28" xfId="0" applyFont="1" applyFill="1" applyBorder="1" applyAlignment="1">
      <alignment horizontal="center" textRotation="90"/>
    </xf>
    <xf numFmtId="0" fontId="5" fillId="0" borderId="24" xfId="0" applyFont="1" applyFill="1" applyBorder="1" applyAlignment="1">
      <alignment horizontal="center" textRotation="90"/>
    </xf>
    <xf numFmtId="0" fontId="8" fillId="8" borderId="8" xfId="0" applyFont="1" applyFill="1" applyBorder="1"/>
    <xf numFmtId="0" fontId="8" fillId="3" borderId="8" xfId="0" applyFont="1" applyFill="1" applyBorder="1" applyAlignment="1">
      <alignment wrapText="1"/>
    </xf>
    <xf numFmtId="0" fontId="8" fillId="3" borderId="8" xfId="0" applyFont="1" applyFill="1" applyBorder="1"/>
    <xf numFmtId="0" fontId="8" fillId="0" borderId="29" xfId="0" applyFont="1" applyBorder="1"/>
    <xf numFmtId="0" fontId="8" fillId="0" borderId="30" xfId="0" applyFont="1" applyBorder="1"/>
    <xf numFmtId="0" fontId="5" fillId="0" borderId="31" xfId="0" applyFont="1" applyFill="1" applyBorder="1" applyAlignment="1">
      <alignment horizontal="center" textRotation="90"/>
    </xf>
    <xf numFmtId="0" fontId="8" fillId="0" borderId="7" xfId="0" applyFont="1" applyBorder="1"/>
    <xf numFmtId="0" fontId="8" fillId="0" borderId="32" xfId="0" applyFont="1" applyBorder="1"/>
    <xf numFmtId="0" fontId="8" fillId="0" borderId="33" xfId="0" applyFont="1" applyBorder="1"/>
    <xf numFmtId="0" fontId="9" fillId="0" borderId="7" xfId="0" applyFont="1" applyBorder="1"/>
    <xf numFmtId="0" fontId="2" fillId="0" borderId="7" xfId="0" applyFont="1" applyFill="1" applyBorder="1" applyAlignment="1">
      <alignment horizontal="center"/>
    </xf>
    <xf numFmtId="0" fontId="5" fillId="0" borderId="34" xfId="0" applyFont="1" applyFill="1" applyBorder="1" applyAlignment="1">
      <alignment textRotation="90"/>
    </xf>
    <xf numFmtId="0" fontId="5" fillId="0" borderId="26" xfId="0" applyFont="1" applyFill="1" applyBorder="1" applyAlignment="1">
      <alignment horizontal="center" textRotation="90"/>
    </xf>
    <xf numFmtId="0" fontId="5" fillId="0" borderId="25" xfId="0" applyFont="1" applyFill="1" applyBorder="1" applyAlignment="1">
      <alignment horizontal="center" textRotation="90"/>
    </xf>
    <xf numFmtId="0" fontId="5" fillId="0" borderId="0" xfId="0" applyFont="1" applyFill="1" applyBorder="1" applyAlignment="1">
      <alignment horizontal="center" textRotation="90"/>
    </xf>
    <xf numFmtId="0" fontId="13" fillId="0" borderId="34" xfId="0" applyFont="1" applyFill="1" applyBorder="1" applyAlignment="1">
      <alignment horizontal="center" vertical="center" wrapText="1"/>
    </xf>
    <xf numFmtId="0" fontId="8" fillId="0" borderId="0" xfId="0" applyFont="1" applyFill="1" applyBorder="1"/>
    <xf numFmtId="164" fontId="9" fillId="0" borderId="8" xfId="0" applyNumberFormat="1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 textRotation="90"/>
    </xf>
    <xf numFmtId="164" fontId="9" fillId="0" borderId="2" xfId="0" applyNumberFormat="1" applyFont="1" applyBorder="1"/>
    <xf numFmtId="0" fontId="8" fillId="0" borderId="0" xfId="0" applyFont="1" applyBorder="1"/>
    <xf numFmtId="164" fontId="0" fillId="0" borderId="0" xfId="0" applyNumberFormat="1"/>
    <xf numFmtId="0" fontId="25" fillId="0" borderId="27" xfId="0" applyFont="1" applyFill="1" applyBorder="1" applyAlignment="1">
      <alignment horizontal="center" textRotation="90"/>
    </xf>
    <xf numFmtId="0" fontId="13" fillId="0" borderId="2" xfId="0" applyFont="1" applyBorder="1"/>
    <xf numFmtId="0" fontId="8" fillId="0" borderId="0" xfId="0" applyFont="1" applyBorder="1" applyAlignment="1">
      <alignment horizontal="left" vertical="top" wrapText="1"/>
    </xf>
    <xf numFmtId="0" fontId="9" fillId="0" borderId="0" xfId="0" applyFont="1" applyBorder="1"/>
    <xf numFmtId="0" fontId="5" fillId="0" borderId="33" xfId="0" applyFont="1" applyFill="1" applyBorder="1" applyAlignment="1">
      <alignment horizontal="center" textRotation="90"/>
    </xf>
    <xf numFmtId="0" fontId="25" fillId="0" borderId="2" xfId="0" applyFont="1" applyFill="1" applyBorder="1" applyAlignment="1">
      <alignment horizontal="center"/>
    </xf>
    <xf numFmtId="0" fontId="25" fillId="0" borderId="2" xfId="0" applyFont="1" applyFill="1" applyBorder="1" applyAlignment="1">
      <alignment horizontal="center" textRotation="90"/>
    </xf>
    <xf numFmtId="0" fontId="1" fillId="0" borderId="0" xfId="0" applyFont="1" applyAlignment="1">
      <alignment wrapText="1"/>
    </xf>
    <xf numFmtId="0" fontId="14" fillId="0" borderId="0" xfId="0" applyFont="1" applyBorder="1"/>
    <xf numFmtId="0" fontId="5" fillId="0" borderId="35" xfId="0" applyFont="1" applyFill="1" applyBorder="1" applyAlignment="1">
      <alignment horizontal="center" textRotation="90"/>
    </xf>
    <xf numFmtId="0" fontId="12" fillId="0" borderId="0" xfId="0" applyFont="1" applyBorder="1"/>
    <xf numFmtId="0" fontId="0" fillId="0" borderId="0" xfId="0" applyNumberFormat="1" applyBorder="1"/>
    <xf numFmtId="0" fontId="9" fillId="0" borderId="0" xfId="0" applyFont="1" applyFill="1" applyBorder="1" applyAlignment="1">
      <alignment horizontal="center"/>
    </xf>
    <xf numFmtId="0" fontId="10" fillId="0" borderId="2" xfId="0" applyFont="1" applyBorder="1"/>
    <xf numFmtId="0" fontId="7" fillId="0" borderId="2" xfId="0" applyFont="1" applyFill="1" applyBorder="1" applyAlignment="1">
      <alignment horizontal="center"/>
    </xf>
    <xf numFmtId="0" fontId="0" fillId="0" borderId="18" xfId="0" applyBorder="1"/>
    <xf numFmtId="0" fontId="0" fillId="0" borderId="17" xfId="0" applyBorder="1"/>
    <xf numFmtId="0" fontId="0" fillId="0" borderId="19" xfId="0" applyBorder="1"/>
    <xf numFmtId="0" fontId="0" fillId="0" borderId="14" xfId="0" applyBorder="1"/>
    <xf numFmtId="0" fontId="0" fillId="0" borderId="15" xfId="0" applyBorder="1"/>
    <xf numFmtId="2" fontId="0" fillId="0" borderId="15" xfId="0" applyNumberFormat="1" applyBorder="1"/>
    <xf numFmtId="0" fontId="0" fillId="0" borderId="36" xfId="0" applyBorder="1"/>
    <xf numFmtId="0" fontId="0" fillId="0" borderId="37" xfId="0" applyBorder="1"/>
    <xf numFmtId="2" fontId="0" fillId="0" borderId="38" xfId="0" applyNumberFormat="1" applyBorder="1"/>
    <xf numFmtId="0" fontId="0" fillId="0" borderId="30" xfId="0" applyBorder="1"/>
    <xf numFmtId="0" fontId="0" fillId="0" borderId="39" xfId="0" applyBorder="1"/>
    <xf numFmtId="2" fontId="0" fillId="0" borderId="40" xfId="0" applyNumberFormat="1" applyBorder="1"/>
    <xf numFmtId="2" fontId="0" fillId="0" borderId="19" xfId="0" applyNumberFormat="1" applyBorder="1"/>
    <xf numFmtId="0" fontId="0" fillId="0" borderId="41" xfId="0" applyBorder="1"/>
    <xf numFmtId="0" fontId="0" fillId="0" borderId="3" xfId="0" applyBorder="1"/>
    <xf numFmtId="0" fontId="0" fillId="0" borderId="13" xfId="0" applyBorder="1"/>
    <xf numFmtId="0" fontId="0" fillId="0" borderId="42" xfId="0" applyBorder="1"/>
    <xf numFmtId="0" fontId="0" fillId="0" borderId="43" xfId="0" applyBorder="1"/>
    <xf numFmtId="0" fontId="0" fillId="0" borderId="20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22" xfId="0" applyBorder="1"/>
    <xf numFmtId="0" fontId="0" fillId="0" borderId="47" xfId="0" applyBorder="1"/>
    <xf numFmtId="2" fontId="0" fillId="0" borderId="48" xfId="0" applyNumberFormat="1" applyBorder="1"/>
    <xf numFmtId="2" fontId="0" fillId="0" borderId="49" xfId="0" applyNumberFormat="1" applyBorder="1"/>
    <xf numFmtId="2" fontId="0" fillId="0" borderId="50" xfId="0" applyNumberFormat="1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38" xfId="0" applyBorder="1"/>
    <xf numFmtId="0" fontId="13" fillId="0" borderId="2" xfId="0" applyFont="1" applyFill="1" applyBorder="1"/>
    <xf numFmtId="0" fontId="13" fillId="0" borderId="7" xfId="0" applyFont="1" applyFill="1" applyBorder="1"/>
    <xf numFmtId="0" fontId="26" fillId="9" borderId="0" xfId="3"/>
    <xf numFmtId="2" fontId="0" fillId="0" borderId="0" xfId="0" applyNumberFormat="1"/>
    <xf numFmtId="0" fontId="8" fillId="0" borderId="0" xfId="0" applyFont="1" applyFill="1"/>
    <xf numFmtId="0" fontId="9" fillId="0" borderId="12" xfId="0" applyFont="1" applyFill="1" applyBorder="1" applyAlignment="1">
      <alignment horizontal="left" vertical="top" wrapText="1"/>
    </xf>
    <xf numFmtId="0" fontId="9" fillId="0" borderId="12" xfId="0" applyFont="1" applyFill="1" applyBorder="1" applyAlignment="1">
      <alignment horizontal="left"/>
    </xf>
    <xf numFmtId="0" fontId="9" fillId="0" borderId="13" xfId="0" applyFont="1" applyFill="1" applyBorder="1"/>
    <xf numFmtId="0" fontId="9" fillId="0" borderId="15" xfId="0" applyFont="1" applyFill="1" applyBorder="1"/>
    <xf numFmtId="0" fontId="0" fillId="0" borderId="0" xfId="0" applyFont="1"/>
    <xf numFmtId="0" fontId="5" fillId="0" borderId="16" xfId="0" applyFont="1" applyFill="1" applyBorder="1" applyAlignment="1">
      <alignment horizontal="center" textRotation="90"/>
    </xf>
    <xf numFmtId="0" fontId="5" fillId="0" borderId="7" xfId="0" applyFont="1" applyFill="1" applyBorder="1" applyAlignment="1">
      <alignment horizontal="center" textRotation="90"/>
    </xf>
    <xf numFmtId="0" fontId="5" fillId="0" borderId="3" xfId="0" applyFont="1" applyFill="1" applyBorder="1" applyAlignment="1">
      <alignment horizontal="center" textRotation="90"/>
    </xf>
    <xf numFmtId="0" fontId="5" fillId="0" borderId="17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textRotation="90"/>
    </xf>
    <xf numFmtId="0" fontId="5" fillId="0" borderId="7" xfId="0" applyFont="1" applyFill="1" applyBorder="1" applyAlignment="1">
      <alignment horizontal="center" textRotation="90"/>
    </xf>
    <xf numFmtId="0" fontId="5" fillId="0" borderId="3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 textRotation="90"/>
    </xf>
    <xf numFmtId="0" fontId="8" fillId="0" borderId="2" xfId="0" applyFont="1" applyFill="1" applyBorder="1" applyAlignment="1">
      <alignment wrapText="1"/>
    </xf>
    <xf numFmtId="0" fontId="8" fillId="0" borderId="14" xfId="0" applyFont="1" applyFill="1" applyBorder="1"/>
    <xf numFmtId="0" fontId="8" fillId="0" borderId="15" xfId="0" applyFont="1" applyFill="1" applyBorder="1"/>
    <xf numFmtId="0" fontId="8" fillId="0" borderId="13" xfId="0" applyFont="1" applyFill="1" applyBorder="1"/>
    <xf numFmtId="0" fontId="0" fillId="0" borderId="0" xfId="0" applyFont="1" applyFill="1"/>
    <xf numFmtId="0" fontId="9" fillId="0" borderId="0" xfId="0" applyFont="1" applyFill="1" applyBorder="1"/>
    <xf numFmtId="0" fontId="0" fillId="0" borderId="0" xfId="0" applyFont="1" applyFill="1" applyBorder="1"/>
    <xf numFmtId="0" fontId="8" fillId="0" borderId="0" xfId="0" applyNumberFormat="1" applyFont="1" applyFill="1"/>
    <xf numFmtId="0" fontId="5" fillId="0" borderId="29" xfId="0" applyFont="1" applyFill="1" applyBorder="1" applyAlignment="1">
      <alignment horizontal="center" textRotation="90"/>
    </xf>
    <xf numFmtId="0" fontId="5" fillId="0" borderId="30" xfId="0" applyFont="1" applyFill="1" applyBorder="1" applyAlignment="1">
      <alignment horizontal="center" textRotation="90"/>
    </xf>
    <xf numFmtId="0" fontId="0" fillId="0" borderId="2" xfId="0" applyFont="1" applyFill="1" applyBorder="1"/>
    <xf numFmtId="0" fontId="8" fillId="0" borderId="2" xfId="0" applyNumberFormat="1" applyFont="1" applyFill="1" applyBorder="1"/>
    <xf numFmtId="0" fontId="8" fillId="0" borderId="8" xfId="0" applyFont="1" applyFill="1" applyBorder="1"/>
    <xf numFmtId="0" fontId="8" fillId="0" borderId="8" xfId="0" applyFont="1" applyFill="1" applyBorder="1" applyAlignment="1">
      <alignment wrapText="1"/>
    </xf>
    <xf numFmtId="0" fontId="8" fillId="0" borderId="29" xfId="0" applyFont="1" applyFill="1" applyBorder="1"/>
    <xf numFmtId="0" fontId="8" fillId="0" borderId="30" xfId="0" applyFont="1" applyFill="1" applyBorder="1"/>
    <xf numFmtId="0" fontId="8" fillId="0" borderId="3" xfId="0" applyFont="1" applyFill="1" applyBorder="1"/>
    <xf numFmtId="0" fontId="8" fillId="0" borderId="16" xfId="0" applyFont="1" applyFill="1" applyBorder="1"/>
    <xf numFmtId="0" fontId="8" fillId="0" borderId="16" xfId="0" applyFont="1" applyFill="1" applyBorder="1" applyAlignment="1">
      <alignment wrapText="1"/>
    </xf>
    <xf numFmtId="0" fontId="8" fillId="0" borderId="24" xfId="0" applyFont="1" applyFill="1" applyBorder="1"/>
    <xf numFmtId="0" fontId="8" fillId="0" borderId="25" xfId="0" applyFont="1" applyFill="1" applyBorder="1"/>
    <xf numFmtId="0" fontId="8" fillId="0" borderId="26" xfId="0" applyFont="1" applyFill="1" applyBorder="1"/>
    <xf numFmtId="49" fontId="8" fillId="0" borderId="2" xfId="2" applyNumberFormat="1" applyFont="1" applyFill="1" applyBorder="1" applyAlignment="1" applyProtection="1">
      <alignment horizontal="left" vertical="top" wrapText="1"/>
    </xf>
    <xf numFmtId="0" fontId="8" fillId="0" borderId="2" xfId="0" applyFont="1" applyFill="1" applyBorder="1" applyAlignment="1">
      <alignment horizontal="left" vertical="top" wrapText="1"/>
    </xf>
    <xf numFmtId="0" fontId="8" fillId="0" borderId="2" xfId="0" applyFont="1" applyFill="1" applyBorder="1" applyAlignment="1">
      <alignment horizontal="right" vertical="top" wrapText="1"/>
    </xf>
    <xf numFmtId="0" fontId="0" fillId="0" borderId="0" xfId="0" applyFont="1" applyFill="1" applyAlignment="1">
      <alignment wrapText="1"/>
    </xf>
    <xf numFmtId="0" fontId="8" fillId="0" borderId="0" xfId="0" applyFont="1" applyFill="1" applyAlignment="1">
      <alignment wrapText="1"/>
    </xf>
    <xf numFmtId="0" fontId="8" fillId="0" borderId="2" xfId="0" applyFont="1" applyFill="1" applyBorder="1" applyAlignment="1">
      <alignment vertical="top" wrapText="1"/>
    </xf>
    <xf numFmtId="0" fontId="8" fillId="0" borderId="7" xfId="0" applyFont="1" applyFill="1" applyBorder="1"/>
    <xf numFmtId="0" fontId="9" fillId="0" borderId="7" xfId="0" applyFont="1" applyFill="1" applyBorder="1"/>
    <xf numFmtId="0" fontId="5" fillId="0" borderId="8" xfId="0" applyFont="1" applyFill="1" applyBorder="1" applyAlignment="1">
      <alignment textRotation="90"/>
    </xf>
    <xf numFmtId="0" fontId="5" fillId="0" borderId="8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/>
    </xf>
    <xf numFmtId="0" fontId="13" fillId="0" borderId="8" xfId="0" applyFont="1" applyFill="1" applyBorder="1" applyAlignment="1">
      <alignment vertical="center"/>
    </xf>
    <xf numFmtId="0" fontId="8" fillId="0" borderId="62" xfId="0" applyFont="1" applyFill="1" applyBorder="1"/>
    <xf numFmtId="0" fontId="8" fillId="0" borderId="63" xfId="0" applyFont="1" applyBorder="1"/>
    <xf numFmtId="0" fontId="21" fillId="0" borderId="7" xfId="0" applyFont="1" applyFill="1" applyBorder="1"/>
    <xf numFmtId="0" fontId="8" fillId="0" borderId="62" xfId="0" applyFont="1" applyBorder="1"/>
    <xf numFmtId="0" fontId="8" fillId="0" borderId="2" xfId="0" applyFont="1" applyFill="1" applyBorder="1" applyAlignment="1">
      <alignment vertical="top"/>
    </xf>
    <xf numFmtId="0" fontId="6" fillId="0" borderId="8" xfId="0" applyFont="1" applyFill="1" applyBorder="1" applyAlignment="1">
      <alignment vertical="center"/>
    </xf>
    <xf numFmtId="0" fontId="6" fillId="0" borderId="8" xfId="0" applyFont="1" applyFill="1" applyBorder="1" applyAlignment="1"/>
    <xf numFmtId="0" fontId="5" fillId="0" borderId="8" xfId="0" applyFont="1" applyFill="1" applyBorder="1" applyAlignment="1"/>
    <xf numFmtId="0" fontId="9" fillId="0" borderId="2" xfId="0" applyFont="1" applyFill="1" applyBorder="1" applyAlignment="1"/>
    <xf numFmtId="164" fontId="6" fillId="0" borderId="8" xfId="0" applyNumberFormat="1" applyFont="1" applyFill="1" applyBorder="1" applyAlignment="1">
      <alignment horizontal="center"/>
    </xf>
    <xf numFmtId="2" fontId="6" fillId="0" borderId="8" xfId="0" applyNumberFormat="1" applyFont="1" applyFill="1" applyBorder="1" applyAlignment="1">
      <alignment horizontal="center"/>
    </xf>
    <xf numFmtId="0" fontId="9" fillId="0" borderId="2" xfId="0" applyFont="1" applyFill="1" applyBorder="1" applyAlignment="1">
      <alignment horizontal="left" vertical="top" wrapText="1"/>
    </xf>
    <xf numFmtId="0" fontId="9" fillId="0" borderId="2" xfId="0" applyFont="1" applyFill="1" applyBorder="1" applyAlignment="1">
      <alignment horizontal="left"/>
    </xf>
    <xf numFmtId="0" fontId="8" fillId="0" borderId="2" xfId="0" applyFont="1" applyFill="1" applyBorder="1" applyAlignment="1">
      <alignment horizontal="left" wrapText="1"/>
    </xf>
    <xf numFmtId="49" fontId="8" fillId="0" borderId="2" xfId="0" applyNumberFormat="1" applyFont="1" applyFill="1" applyBorder="1" applyAlignment="1" applyProtection="1">
      <alignment horizontal="left" wrapText="1" shrinkToFit="1"/>
    </xf>
    <xf numFmtId="0" fontId="11" fillId="0" borderId="2" xfId="0" applyFont="1" applyFill="1" applyBorder="1" applyAlignment="1">
      <alignment vertical="center"/>
    </xf>
    <xf numFmtId="0" fontId="8" fillId="0" borderId="0" xfId="0" applyNumberFormat="1" applyFont="1" applyFill="1" applyBorder="1"/>
    <xf numFmtId="0" fontId="11" fillId="0" borderId="0" xfId="0" applyFont="1" applyFill="1" applyBorder="1"/>
    <xf numFmtId="164" fontId="9" fillId="0" borderId="0" xfId="0" applyNumberFormat="1" applyFont="1" applyFill="1" applyBorder="1"/>
    <xf numFmtId="164" fontId="11" fillId="0" borderId="0" xfId="0" applyNumberFormat="1" applyFont="1" applyFill="1" applyBorder="1"/>
    <xf numFmtId="0" fontId="9" fillId="0" borderId="0" xfId="0" applyNumberFormat="1" applyFont="1" applyFill="1" applyBorder="1"/>
    <xf numFmtId="0" fontId="9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/>
    <xf numFmtId="0" fontId="14" fillId="0" borderId="0" xfId="0" applyFont="1" applyFill="1" applyBorder="1"/>
    <xf numFmtId="0" fontId="21" fillId="0" borderId="0" xfId="0" applyFont="1" applyFill="1" applyBorder="1"/>
    <xf numFmtId="0" fontId="2" fillId="0" borderId="0" xfId="0" applyFont="1" applyFill="1" applyBorder="1"/>
    <xf numFmtId="0" fontId="8" fillId="0" borderId="0" xfId="0" applyFont="1" applyFill="1" applyBorder="1" applyAlignment="1">
      <alignment horizontal="right"/>
    </xf>
    <xf numFmtId="0" fontId="11" fillId="0" borderId="0" xfId="0" applyFont="1" applyFill="1" applyBorder="1" applyAlignment="1"/>
    <xf numFmtId="0" fontId="11" fillId="0" borderId="8" xfId="0" applyFont="1" applyFill="1" applyBorder="1" applyAlignment="1">
      <alignment vertical="center"/>
    </xf>
    <xf numFmtId="0" fontId="8" fillId="0" borderId="16" xfId="0" applyFont="1" applyFill="1" applyBorder="1" applyAlignment="1">
      <alignment vertical="top" wrapText="1"/>
    </xf>
    <xf numFmtId="0" fontId="9" fillId="0" borderId="14" xfId="0" applyFont="1" applyFill="1" applyBorder="1"/>
    <xf numFmtId="0" fontId="9" fillId="0" borderId="12" xfId="0" applyFont="1" applyFill="1" applyBorder="1"/>
    <xf numFmtId="0" fontId="8" fillId="0" borderId="2" xfId="0" applyFont="1" applyFill="1" applyBorder="1" applyAlignment="1">
      <alignment horizontal="left"/>
    </xf>
    <xf numFmtId="0" fontId="5" fillId="0" borderId="7" xfId="0" applyFont="1" applyFill="1" applyBorder="1" applyAlignment="1">
      <alignment horizontal="center" textRotation="90"/>
    </xf>
    <xf numFmtId="0" fontId="5" fillId="0" borderId="3" xfId="0" applyFont="1" applyFill="1" applyBorder="1" applyAlignment="1">
      <alignment horizontal="center" textRotation="90"/>
    </xf>
    <xf numFmtId="0" fontId="5" fillId="0" borderId="17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textRotation="90"/>
    </xf>
    <xf numFmtId="0" fontId="8" fillId="10" borderId="7" xfId="0" applyFont="1" applyFill="1" applyBorder="1"/>
    <xf numFmtId="0" fontId="8" fillId="10" borderId="7" xfId="0" applyFont="1" applyFill="1" applyBorder="1" applyAlignment="1">
      <alignment vertical="top" wrapText="1"/>
    </xf>
    <xf numFmtId="0" fontId="8" fillId="10" borderId="2" xfId="0" applyFont="1" applyFill="1" applyBorder="1"/>
    <xf numFmtId="0" fontId="8" fillId="10" borderId="2" xfId="0" applyFont="1" applyFill="1" applyBorder="1" applyAlignment="1">
      <alignment vertical="top"/>
    </xf>
    <xf numFmtId="0" fontId="8" fillId="10" borderId="2" xfId="0" applyFont="1" applyFill="1" applyBorder="1" applyAlignment="1">
      <alignment vertical="top" wrapText="1"/>
    </xf>
    <xf numFmtId="0" fontId="5" fillId="0" borderId="16" xfId="0" applyFont="1" applyFill="1" applyBorder="1" applyAlignment="1">
      <alignment horizontal="center" textRotation="90"/>
    </xf>
    <xf numFmtId="0" fontId="5" fillId="0" borderId="3" xfId="0" applyFont="1" applyFill="1" applyBorder="1" applyAlignment="1">
      <alignment horizontal="center" textRotation="90"/>
    </xf>
    <xf numFmtId="0" fontId="5" fillId="0" borderId="17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 textRotation="90"/>
    </xf>
    <xf numFmtId="0" fontId="5" fillId="0" borderId="7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textRotation="90"/>
    </xf>
    <xf numFmtId="164" fontId="9" fillId="0" borderId="2" xfId="0" applyNumberFormat="1" applyFont="1" applyFill="1" applyBorder="1" applyAlignment="1">
      <alignment horizontal="center"/>
    </xf>
    <xf numFmtId="0" fontId="5" fillId="0" borderId="54" xfId="0" applyFont="1" applyFill="1" applyBorder="1" applyAlignment="1">
      <alignment horizontal="center" vertical="center"/>
    </xf>
    <xf numFmtId="0" fontId="5" fillId="0" borderId="55" xfId="0" applyFont="1" applyFill="1" applyBorder="1" applyAlignment="1">
      <alignment horizontal="center" vertical="center"/>
    </xf>
    <xf numFmtId="0" fontId="5" fillId="0" borderId="48" xfId="0" applyFont="1" applyFill="1" applyBorder="1" applyAlignment="1">
      <alignment horizontal="center" vertical="center"/>
    </xf>
    <xf numFmtId="0" fontId="5" fillId="0" borderId="56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33" xfId="0" applyFont="1" applyFill="1" applyBorder="1" applyAlignment="1">
      <alignment horizontal="center"/>
    </xf>
    <xf numFmtId="0" fontId="5" fillId="0" borderId="12" xfId="0" applyFont="1" applyFill="1" applyBorder="1" applyAlignment="1">
      <alignment horizontal="center"/>
    </xf>
    <xf numFmtId="0" fontId="5" fillId="0" borderId="57" xfId="0" applyFont="1" applyFill="1" applyBorder="1" applyAlignment="1">
      <alignment horizontal="center"/>
    </xf>
    <xf numFmtId="0" fontId="5" fillId="0" borderId="13" xfId="0" applyFont="1" applyFill="1" applyBorder="1" applyAlignment="1">
      <alignment horizontal="center"/>
    </xf>
    <xf numFmtId="0" fontId="5" fillId="0" borderId="11" xfId="0" applyFont="1" applyFill="1" applyBorder="1" applyAlignment="1">
      <alignment textRotation="90"/>
    </xf>
    <xf numFmtId="0" fontId="5" fillId="0" borderId="58" xfId="0" applyFont="1" applyFill="1" applyBorder="1" applyAlignment="1">
      <alignment textRotation="90"/>
    </xf>
    <xf numFmtId="0" fontId="5" fillId="0" borderId="11" xfId="0" applyFont="1" applyFill="1" applyBorder="1" applyAlignment="1">
      <alignment horizontal="center" vertical="center" wrapText="1"/>
    </xf>
    <xf numFmtId="0" fontId="5" fillId="0" borderId="58" xfId="0" applyFont="1" applyFill="1" applyBorder="1" applyAlignment="1">
      <alignment horizontal="center" vertical="center" wrapText="1"/>
    </xf>
    <xf numFmtId="0" fontId="5" fillId="0" borderId="28" xfId="0" applyFont="1" applyFill="1" applyBorder="1" applyAlignment="1">
      <alignment horizontal="center" textRotation="90"/>
    </xf>
    <xf numFmtId="0" fontId="5" fillId="0" borderId="24" xfId="0" applyFont="1" applyFill="1" applyBorder="1" applyAlignment="1">
      <alignment horizontal="center" textRotation="90"/>
    </xf>
    <xf numFmtId="0" fontId="5" fillId="0" borderId="27" xfId="0" applyFont="1" applyFill="1" applyBorder="1" applyAlignment="1">
      <alignment horizontal="center" textRotation="90"/>
    </xf>
    <xf numFmtId="0" fontId="5" fillId="0" borderId="16" xfId="0" applyFont="1" applyFill="1" applyBorder="1" applyAlignment="1">
      <alignment horizontal="center" textRotation="90"/>
    </xf>
    <xf numFmtId="0" fontId="6" fillId="0" borderId="27" xfId="0" applyFont="1" applyFill="1" applyBorder="1" applyAlignment="1">
      <alignment horizontal="center" vertical="center" textRotation="255"/>
    </xf>
    <xf numFmtId="0" fontId="6" fillId="0" borderId="16" xfId="0" applyFont="1" applyFill="1" applyBorder="1" applyAlignment="1">
      <alignment horizontal="center" vertical="center" textRotation="255"/>
    </xf>
    <xf numFmtId="0" fontId="5" fillId="0" borderId="4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6" fillId="0" borderId="48" xfId="0" applyFont="1" applyFill="1" applyBorder="1" applyAlignment="1">
      <alignment horizontal="center" vertical="center" textRotation="255"/>
    </xf>
    <xf numFmtId="0" fontId="6" fillId="0" borderId="59" xfId="0" applyFont="1" applyFill="1" applyBorder="1" applyAlignment="1">
      <alignment horizontal="center" vertical="center" textRotation="255"/>
    </xf>
    <xf numFmtId="0" fontId="5" fillId="0" borderId="7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horizontal="center"/>
    </xf>
    <xf numFmtId="0" fontId="5" fillId="0" borderId="34" xfId="0" applyFont="1" applyFill="1" applyBorder="1" applyAlignment="1">
      <alignment horizontal="center"/>
    </xf>
    <xf numFmtId="0" fontId="5" fillId="0" borderId="17" xfId="0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5" fillId="0" borderId="20" xfId="0" applyFont="1" applyFill="1" applyBorder="1" applyAlignment="1">
      <alignment textRotation="90"/>
    </xf>
    <xf numFmtId="0" fontId="5" fillId="0" borderId="44" xfId="0" applyFont="1" applyFill="1" applyBorder="1" applyAlignment="1">
      <alignment textRotation="90"/>
    </xf>
    <xf numFmtId="0" fontId="5" fillId="0" borderId="60" xfId="0" applyFont="1" applyFill="1" applyBorder="1" applyAlignment="1">
      <alignment horizontal="center" vertical="center" wrapText="1"/>
    </xf>
    <xf numFmtId="0" fontId="5" fillId="0" borderId="61" xfId="0" applyFont="1" applyFill="1" applyBorder="1" applyAlignment="1">
      <alignment horizontal="center" vertical="center" wrapText="1"/>
    </xf>
    <xf numFmtId="0" fontId="5" fillId="0" borderId="41" xfId="0" applyFont="1" applyFill="1" applyBorder="1" applyAlignment="1">
      <alignment horizontal="center" textRotation="90"/>
    </xf>
    <xf numFmtId="0" fontId="5" fillId="0" borderId="3" xfId="0" applyFont="1" applyFill="1" applyBorder="1" applyAlignment="1">
      <alignment horizontal="center" textRotation="90"/>
    </xf>
    <xf numFmtId="0" fontId="5" fillId="0" borderId="17" xfId="0" applyFont="1" applyFill="1" applyBorder="1" applyAlignment="1">
      <alignment horizontal="center" textRotation="90"/>
    </xf>
    <xf numFmtId="0" fontId="5" fillId="0" borderId="8" xfId="0" applyFont="1" applyFill="1" applyBorder="1" applyAlignment="1">
      <alignment horizontal="center" textRotation="90"/>
    </xf>
    <xf numFmtId="0" fontId="6" fillId="0" borderId="2" xfId="0" applyFont="1" applyFill="1" applyBorder="1" applyAlignment="1">
      <alignment horizontal="center" vertical="center" textRotation="255"/>
    </xf>
    <xf numFmtId="0" fontId="5" fillId="0" borderId="2" xfId="0" applyFont="1" applyFill="1" applyBorder="1" applyAlignment="1">
      <alignment horizontal="center" textRotation="90"/>
    </xf>
    <xf numFmtId="0" fontId="5" fillId="0" borderId="2" xfId="0" applyFont="1" applyFill="1" applyBorder="1" applyAlignment="1">
      <alignment textRotation="90"/>
    </xf>
    <xf numFmtId="0" fontId="5" fillId="0" borderId="2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/>
    </xf>
  </cellXfs>
  <cellStyles count="4">
    <cellStyle name="Гиперссылка" xfId="1" builtinId="8"/>
    <cellStyle name="Обычный" xfId="0" builtinId="0"/>
    <cellStyle name="Обычный 2" xfId="2" xr:uid="{00000000-0005-0000-0000-000002000000}"/>
    <cellStyle name="Плохой" xfId="3" builtinId="27"/>
  </cellStyles>
  <dxfs count="22"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  <condense val="0"/>
        <extend val="0"/>
      </font>
      <fill>
        <patternFill>
          <bgColor indexed="42"/>
        </patternFill>
      </fill>
    </dxf>
    <dxf>
      <font>
        <b/>
        <i/>
        <strike val="0"/>
        <condense val="0"/>
        <extend val="0"/>
      </font>
      <fill>
        <patternFill>
          <bgColor indexed="42"/>
        </patternFill>
      </fill>
    </dxf>
    <dxf>
      <font>
        <b val="0"/>
        <i/>
        <strike val="0"/>
      </font>
      <fill>
        <patternFill>
          <fgColor indexed="64"/>
          <bgColor indexed="42"/>
        </patternFill>
      </fill>
    </dxf>
    <dxf>
      <font>
        <b/>
        <i/>
        <strike val="0"/>
      </font>
      <fill>
        <patternFill>
          <fgColor indexed="64"/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24</xdr:row>
          <xdr:rowOff>22860</xdr:rowOff>
        </xdr:from>
        <xdr:to>
          <xdr:col>13</xdr:col>
          <xdr:colOff>0</xdr:colOff>
          <xdr:row>63</xdr:row>
          <xdr:rowOff>152400</xdr:rowOff>
        </xdr:to>
        <xdr:sp macro="" textlink="">
          <xdr:nvSpPr>
            <xdr:cNvPr id="66563" name="Object 3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15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http://www.intuit.ru/catalog/internet/webdesign/" TargetMode="External"/><Relationship Id="rId6" Type="http://schemas.openxmlformats.org/officeDocument/2006/relationships/image" Target="../media/image1.emf"/><Relationship Id="rId5" Type="http://schemas.openxmlformats.org/officeDocument/2006/relationships/oleObject" Target="../embeddings/Microsoft_Word_97_-_2003_Document.doc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9"/>
  <dimension ref="A2:K56"/>
  <sheetViews>
    <sheetView topLeftCell="A13" workbookViewId="0">
      <selection activeCell="M11" sqref="M11"/>
    </sheetView>
  </sheetViews>
  <sheetFormatPr defaultRowHeight="13.2" x14ac:dyDescent="0.25"/>
  <cols>
    <col min="1" max="1" width="20.6640625" customWidth="1"/>
    <col min="4" max="4" width="10.33203125" bestFit="1" customWidth="1"/>
    <col min="7" max="7" width="32.33203125" customWidth="1"/>
  </cols>
  <sheetData>
    <row r="2" spans="1:11" ht="13.8" thickBot="1" x14ac:dyDescent="0.3">
      <c r="B2" s="9" t="s">
        <v>64</v>
      </c>
      <c r="C2" s="9" t="s">
        <v>64</v>
      </c>
      <c r="D2" s="9" t="s">
        <v>65</v>
      </c>
      <c r="E2" s="9" t="s">
        <v>187</v>
      </c>
      <c r="F2" s="9" t="s">
        <v>65</v>
      </c>
      <c r="G2" s="9" t="s">
        <v>65</v>
      </c>
      <c r="H2" s="9" t="s">
        <v>65</v>
      </c>
      <c r="I2" s="9" t="s">
        <v>66</v>
      </c>
      <c r="J2" s="9" t="s">
        <v>64</v>
      </c>
    </row>
    <row r="3" spans="1:11" s="46" customFormat="1" ht="16.2" thickBot="1" x14ac:dyDescent="0.35">
      <c r="B3" s="48">
        <v>1.5</v>
      </c>
      <c r="C3" s="48">
        <v>1</v>
      </c>
      <c r="D3" s="48">
        <v>1</v>
      </c>
      <c r="E3" s="48">
        <v>1</v>
      </c>
      <c r="F3" s="48">
        <v>0.5</v>
      </c>
      <c r="G3" s="48">
        <v>0.5</v>
      </c>
      <c r="H3" s="48">
        <v>0.5</v>
      </c>
      <c r="I3" s="48">
        <v>0.5</v>
      </c>
      <c r="J3" s="48">
        <v>0.5</v>
      </c>
    </row>
    <row r="4" spans="1:11" s="46" customFormat="1" ht="130.80000000000001" x14ac:dyDescent="0.25">
      <c r="B4" s="45" t="s">
        <v>76</v>
      </c>
      <c r="C4" s="44" t="s">
        <v>99</v>
      </c>
      <c r="D4" s="44" t="s">
        <v>98</v>
      </c>
      <c r="E4" s="44" t="s">
        <v>188</v>
      </c>
      <c r="F4" s="44" t="s">
        <v>104</v>
      </c>
      <c r="G4" s="49" t="s">
        <v>97</v>
      </c>
      <c r="H4" s="44" t="s">
        <v>101</v>
      </c>
      <c r="I4" s="44" t="s">
        <v>100</v>
      </c>
      <c r="J4" s="44" t="s">
        <v>21</v>
      </c>
      <c r="K4" s="72" t="s">
        <v>149</v>
      </c>
    </row>
    <row r="5" spans="1:11" x14ac:dyDescent="0.25">
      <c r="B5" s="73">
        <f>850*B3</f>
        <v>1275</v>
      </c>
      <c r="C5" s="73">
        <f t="shared" ref="C5:J5" si="0">870*C3</f>
        <v>870</v>
      </c>
      <c r="D5" s="73">
        <f t="shared" si="0"/>
        <v>870</v>
      </c>
      <c r="E5" s="73">
        <f t="shared" si="0"/>
        <v>870</v>
      </c>
      <c r="F5" s="73">
        <f t="shared" si="0"/>
        <v>435</v>
      </c>
      <c r="G5" s="73">
        <f t="shared" si="0"/>
        <v>435</v>
      </c>
      <c r="H5" s="73">
        <f t="shared" si="0"/>
        <v>435</v>
      </c>
      <c r="I5" s="73">
        <f t="shared" si="0"/>
        <v>435</v>
      </c>
      <c r="J5" s="73">
        <f t="shared" si="0"/>
        <v>435</v>
      </c>
    </row>
    <row r="6" spans="1:11" x14ac:dyDescent="0.25">
      <c r="A6" t="s">
        <v>153</v>
      </c>
      <c r="B6" s="73">
        <v>891.4</v>
      </c>
      <c r="C6" s="73"/>
      <c r="D6" s="73" t="e">
        <f>'Мальков А.А.'!#REF!</f>
        <v>#REF!</v>
      </c>
      <c r="F6" s="73" t="e">
        <f>#REF!</f>
        <v>#REF!</v>
      </c>
      <c r="G6" s="73">
        <v>417.1</v>
      </c>
      <c r="H6" s="73" t="e">
        <f>#REF!</f>
        <v>#REF!</v>
      </c>
      <c r="I6" s="73">
        <v>358.6</v>
      </c>
      <c r="J6" s="73">
        <v>769.1</v>
      </c>
    </row>
    <row r="7" spans="1:11" ht="19.5" customHeight="1" x14ac:dyDescent="0.25">
      <c r="A7" s="72" t="s">
        <v>197</v>
      </c>
      <c r="B7" s="47">
        <f>ФИТ!BI5+МСФ!BG5+ЗФ!BG5+Магистры!BG5+Магистры_ПИН!BG5</f>
        <v>0</v>
      </c>
      <c r="C7" s="47" t="e">
        <f>ФИТ!BJ5+МСФ!#REF!+Магистры!BH5+Магистры_ПИН!BH5</f>
        <v>#REF!</v>
      </c>
      <c r="D7" s="47" t="e">
        <f>ФИТ!BK5+МСФ!#REF!+Магистры!BL5+Магистры_ПИН!BI5</f>
        <v>#REF!</v>
      </c>
      <c r="E7" s="47">
        <f>ФИТ!BL5+МСФ!BH5+Магистры!BJ5+Магистры_ПИН!BJ5</f>
        <v>0</v>
      </c>
      <c r="F7" s="47" t="e">
        <f>ФИТ!BN5+МСФ!BJ5+ЗФ!BH5+Магистры!BH5+Магистры_ПИН!BK5</f>
        <v>#REF!</v>
      </c>
      <c r="G7" s="47" t="e">
        <f>ФИТ!BM5+МСФ!BI5+Магистры!BK5+Магистры_ПИН!#REF!</f>
        <v>#REF!</v>
      </c>
      <c r="H7" s="47">
        <f>ФИТ!BO5+МСФ!BK5+ЗФ!BK5+Магистры!BM5+Магистры_ПИН!BL5</f>
        <v>0</v>
      </c>
      <c r="I7" s="47" t="e">
        <f>ФИТ!BQ5+МСФ!BL5+ЗФ!#REF!+Магистры!BN5+Магистры_ПИН!#REF!</f>
        <v>#REF!</v>
      </c>
      <c r="J7" s="47">
        <f>ФИТ!BR5+МСФ!BM5+ЗФ!BM5+Магистры!BO5+Магистры_ПИН!BN5</f>
        <v>0</v>
      </c>
      <c r="K7" t="e">
        <f>SUM(B7:J7)</f>
        <v>#REF!</v>
      </c>
    </row>
    <row r="8" spans="1:11" ht="19.5" customHeight="1" x14ac:dyDescent="0.25">
      <c r="A8" s="72"/>
      <c r="B8" s="47">
        <f>B7/$B$5</f>
        <v>0</v>
      </c>
      <c r="C8" s="47" t="e">
        <f t="shared" ref="C8:J8" si="1">C7/$B$5</f>
        <v>#REF!</v>
      </c>
      <c r="D8" s="47" t="e">
        <f t="shared" si="1"/>
        <v>#REF!</v>
      </c>
      <c r="E8" s="47">
        <f t="shared" si="1"/>
        <v>0</v>
      </c>
      <c r="F8" s="47" t="e">
        <f t="shared" si="1"/>
        <v>#REF!</v>
      </c>
      <c r="G8" s="47" t="e">
        <f>G7/$B$5</f>
        <v>#REF!</v>
      </c>
      <c r="H8" s="47">
        <f t="shared" si="1"/>
        <v>0</v>
      </c>
      <c r="I8" s="47" t="e">
        <f t="shared" si="1"/>
        <v>#REF!</v>
      </c>
      <c r="J8" s="47">
        <f t="shared" si="1"/>
        <v>0</v>
      </c>
    </row>
    <row r="9" spans="1:11" ht="19.5" customHeight="1" x14ac:dyDescent="0.25">
      <c r="A9" s="72" t="s">
        <v>198</v>
      </c>
      <c r="B9" s="47" t="e">
        <f>#REF!</f>
        <v>#REF!</v>
      </c>
      <c r="C9" s="47" t="e">
        <f>'Биллиг В.А.'!#REF!</f>
        <v>#REF!</v>
      </c>
      <c r="D9" s="47" t="e">
        <f>'Мальков А.А.'!#REF!</f>
        <v>#REF!</v>
      </c>
      <c r="E9" s="47" t="e">
        <f>'Артемов И.Ю.'!#REF!</f>
        <v>#REF!</v>
      </c>
      <c r="F9" s="47" t="e">
        <f>#REF!</f>
        <v>#REF!</v>
      </c>
      <c r="G9" s="47" t="e">
        <f>#REF!</f>
        <v>#REF!</v>
      </c>
      <c r="H9" s="47" t="e">
        <f>#REF!</f>
        <v>#REF!</v>
      </c>
      <c r="I9" s="47" t="e">
        <f>#REF!</f>
        <v>#REF!</v>
      </c>
      <c r="J9" s="47" t="e">
        <f>#REF!</f>
        <v>#REF!</v>
      </c>
      <c r="K9" t="e">
        <f>SUM(B9:J9)</f>
        <v>#REF!</v>
      </c>
    </row>
    <row r="10" spans="1:11" x14ac:dyDescent="0.25">
      <c r="B10">
        <f>B7-B5</f>
        <v>-1275</v>
      </c>
      <c r="C10" t="e">
        <f>C7-C5</f>
        <v>#REF!</v>
      </c>
      <c r="D10" t="e">
        <f>D7-D5</f>
        <v>#REF!</v>
      </c>
      <c r="F10" t="e">
        <f>F7-F5</f>
        <v>#REF!</v>
      </c>
      <c r="G10" t="e">
        <f>G7-G5</f>
        <v>#REF!</v>
      </c>
      <c r="H10">
        <f>H7-H5</f>
        <v>-435</v>
      </c>
      <c r="I10" t="e">
        <f>I7-I5</f>
        <v>#REF!</v>
      </c>
      <c r="J10">
        <f>J7-J5</f>
        <v>-435</v>
      </c>
    </row>
    <row r="11" spans="1:11" x14ac:dyDescent="0.25">
      <c r="A11" t="s">
        <v>154</v>
      </c>
      <c r="C11" t="e">
        <f>'Биллиг В.А.'!#REF!</f>
        <v>#REF!</v>
      </c>
      <c r="F11" t="e">
        <f>#REF!</f>
        <v>#REF!</v>
      </c>
    </row>
    <row r="12" spans="1:11" x14ac:dyDescent="0.25">
      <c r="A12" s="72" t="s">
        <v>155</v>
      </c>
    </row>
    <row r="13" spans="1:11" s="51" customFormat="1" ht="93.75" customHeight="1" x14ac:dyDescent="0.25">
      <c r="B13" s="51" t="s">
        <v>107</v>
      </c>
      <c r="C13" s="51" t="s">
        <v>106</v>
      </c>
      <c r="D13" s="51" t="s">
        <v>108</v>
      </c>
      <c r="E13" s="51" t="s">
        <v>108</v>
      </c>
      <c r="F13" s="51" t="s">
        <v>106</v>
      </c>
      <c r="G13" s="51" t="s">
        <v>106</v>
      </c>
      <c r="H13" s="51" t="s">
        <v>108</v>
      </c>
      <c r="I13" s="51" t="s">
        <v>108</v>
      </c>
    </row>
    <row r="14" spans="1:11" x14ac:dyDescent="0.25">
      <c r="A14" s="42"/>
    </row>
    <row r="15" spans="1:11" ht="13.8" thickBot="1" x14ac:dyDescent="0.3"/>
    <row r="16" spans="1:11" x14ac:dyDescent="0.25">
      <c r="A16" s="168" t="s">
        <v>77</v>
      </c>
      <c r="B16" s="163"/>
      <c r="C16" s="151" t="s">
        <v>227</v>
      </c>
      <c r="D16" s="151"/>
      <c r="E16" s="152" t="s">
        <v>120</v>
      </c>
      <c r="G16" t="s">
        <v>175</v>
      </c>
    </row>
    <row r="17" spans="1:7" ht="13.8" thickBot="1" x14ac:dyDescent="0.3">
      <c r="A17" s="169"/>
      <c r="B17" s="164"/>
      <c r="C17" s="70"/>
      <c r="D17" s="70"/>
      <c r="E17" s="159"/>
      <c r="G17" t="s">
        <v>176</v>
      </c>
    </row>
    <row r="18" spans="1:7" x14ac:dyDescent="0.25">
      <c r="A18" s="168" t="s">
        <v>212</v>
      </c>
      <c r="B18" s="163"/>
      <c r="C18" s="151">
        <f>ФИТ!BF5</f>
        <v>0</v>
      </c>
      <c r="D18" s="151"/>
      <c r="E18" s="162">
        <f>C18/$A$24</f>
        <v>0</v>
      </c>
    </row>
    <row r="19" spans="1:7" x14ac:dyDescent="0.25">
      <c r="A19" s="170" t="s">
        <v>90</v>
      </c>
      <c r="B19" s="165"/>
      <c r="C19" s="29">
        <f>ЗФ!BF5</f>
        <v>0</v>
      </c>
      <c r="D19" s="29"/>
      <c r="E19" s="155">
        <f>C19/$A$24</f>
        <v>0</v>
      </c>
    </row>
    <row r="20" spans="1:7" x14ac:dyDescent="0.25">
      <c r="A20" s="170" t="s">
        <v>213</v>
      </c>
      <c r="B20" s="165"/>
      <c r="C20" s="29">
        <f>МСФ!BF5</f>
        <v>0</v>
      </c>
      <c r="D20" s="29"/>
      <c r="E20" s="155">
        <f>C20/$A$24</f>
        <v>0</v>
      </c>
    </row>
    <row r="21" spans="1:7" x14ac:dyDescent="0.25">
      <c r="A21" s="170" t="s">
        <v>226</v>
      </c>
      <c r="B21" s="165"/>
      <c r="C21" s="29">
        <f>Магистры!BF5</f>
        <v>0</v>
      </c>
      <c r="D21" s="29"/>
      <c r="E21" s="155">
        <f>C21/$A$24</f>
        <v>0</v>
      </c>
    </row>
    <row r="22" spans="1:7" ht="13.8" thickBot="1" x14ac:dyDescent="0.3">
      <c r="A22" s="171" t="s">
        <v>225</v>
      </c>
      <c r="B22" s="166"/>
      <c r="C22" s="157">
        <f>Магистры_ПИН!BF5</f>
        <v>0</v>
      </c>
      <c r="D22" s="157"/>
      <c r="E22" s="158">
        <f>C22/$A$25</f>
        <v>0</v>
      </c>
    </row>
    <row r="23" spans="1:7" ht="13.8" thickBot="1" x14ac:dyDescent="0.3">
      <c r="A23" s="172" t="s">
        <v>78</v>
      </c>
      <c r="B23" s="167"/>
      <c r="C23" s="160">
        <f>SUM(C18:C22)</f>
        <v>0</v>
      </c>
      <c r="D23" s="160"/>
      <c r="E23" s="161">
        <f>SUM(E18:E22)</f>
        <v>0</v>
      </c>
    </row>
    <row r="24" spans="1:7" x14ac:dyDescent="0.25">
      <c r="A24" s="173">
        <v>900</v>
      </c>
    </row>
    <row r="25" spans="1:7" ht="13.8" thickBot="1" x14ac:dyDescent="0.3">
      <c r="A25" s="173">
        <v>805</v>
      </c>
    </row>
    <row r="26" spans="1:7" x14ac:dyDescent="0.25">
      <c r="A26" s="177" t="s">
        <v>120</v>
      </c>
      <c r="B26" s="150"/>
      <c r="C26" s="151"/>
      <c r="D26" s="152"/>
      <c r="E26" s="174">
        <f>E27+E28</f>
        <v>0</v>
      </c>
    </row>
    <row r="27" spans="1:7" x14ac:dyDescent="0.25">
      <c r="A27" s="178" t="s">
        <v>208</v>
      </c>
      <c r="B27" s="153"/>
      <c r="C27" s="29">
        <f>C18+C19+C20</f>
        <v>0</v>
      </c>
      <c r="D27" s="154"/>
      <c r="E27" s="175">
        <f>SUM(C18:C20)/$A$24</f>
        <v>0</v>
      </c>
    </row>
    <row r="28" spans="1:7" ht="13.8" thickBot="1" x14ac:dyDescent="0.3">
      <c r="A28" s="179" t="s">
        <v>209</v>
      </c>
      <c r="B28" s="156"/>
      <c r="C28" s="157">
        <f>C21+C22</f>
        <v>0</v>
      </c>
      <c r="D28" s="180"/>
      <c r="E28" s="176">
        <f>SUM(C21:C22)/$A$25</f>
        <v>0</v>
      </c>
    </row>
    <row r="30" spans="1:7" ht="15" x14ac:dyDescent="0.25">
      <c r="A30" s="57" t="s">
        <v>121</v>
      </c>
    </row>
    <row r="37" spans="1:10" x14ac:dyDescent="0.25">
      <c r="A37" s="58"/>
    </row>
    <row r="38" spans="1:10" x14ac:dyDescent="0.25">
      <c r="H38" s="184"/>
      <c r="J38">
        <v>850</v>
      </c>
    </row>
    <row r="39" spans="1:10" x14ac:dyDescent="0.25">
      <c r="G39" s="181" t="s">
        <v>131</v>
      </c>
      <c r="H39" s="184">
        <v>1.49</v>
      </c>
      <c r="I39">
        <v>0.2</v>
      </c>
    </row>
    <row r="40" spans="1:10" x14ac:dyDescent="0.25">
      <c r="G40" s="181" t="s">
        <v>132</v>
      </c>
      <c r="H40" s="184">
        <f>'Биллиг В.А.'!BG5</f>
        <v>0.22222222222222221</v>
      </c>
      <c r="I40">
        <v>0.5</v>
      </c>
    </row>
    <row r="41" spans="1:10" x14ac:dyDescent="0.25">
      <c r="G41" s="181" t="s">
        <v>134</v>
      </c>
      <c r="H41" s="184">
        <f>'Мальков А.А.'!BG5</f>
        <v>0.22222222222222221</v>
      </c>
    </row>
    <row r="42" spans="1:10" x14ac:dyDescent="0.25">
      <c r="G42" s="181" t="s">
        <v>169</v>
      </c>
      <c r="H42" s="184">
        <v>0.9</v>
      </c>
      <c r="I42">
        <v>0.19</v>
      </c>
    </row>
    <row r="43" spans="1:10" x14ac:dyDescent="0.25">
      <c r="G43" s="181" t="s">
        <v>125</v>
      </c>
      <c r="H43" s="184">
        <v>0.3</v>
      </c>
      <c r="I43">
        <v>0.2</v>
      </c>
    </row>
    <row r="44" spans="1:10" x14ac:dyDescent="0.25">
      <c r="G44" s="181" t="s">
        <v>124</v>
      </c>
      <c r="H44" s="184">
        <f>'Прохныч А.Н.'!BG5</f>
        <v>0.22222222222222221</v>
      </c>
      <c r="I44">
        <v>0.16</v>
      </c>
    </row>
    <row r="45" spans="1:10" ht="14.4" x14ac:dyDescent="0.3">
      <c r="G45" s="181" t="s">
        <v>167</v>
      </c>
      <c r="H45" s="184">
        <v>0.49</v>
      </c>
      <c r="I45">
        <v>-0.7</v>
      </c>
      <c r="J45" s="183"/>
    </row>
    <row r="46" spans="1:10" x14ac:dyDescent="0.25">
      <c r="G46" s="181" t="s">
        <v>228</v>
      </c>
      <c r="H46" s="184">
        <v>0.47</v>
      </c>
      <c r="I46">
        <v>0.03</v>
      </c>
    </row>
    <row r="47" spans="1:10" x14ac:dyDescent="0.25">
      <c r="G47" t="s">
        <v>190</v>
      </c>
      <c r="H47" s="184">
        <v>0.39</v>
      </c>
    </row>
    <row r="48" spans="1:10" x14ac:dyDescent="0.25">
      <c r="H48" s="184"/>
    </row>
    <row r="49" spans="7:10" x14ac:dyDescent="0.25">
      <c r="H49" s="184">
        <f>SUM(H39:H46)</f>
        <v>4.3166666666666664</v>
      </c>
      <c r="I49">
        <f>SUM(I39:I46)</f>
        <v>0.57999999999999985</v>
      </c>
      <c r="J49">
        <f>J38*I49</f>
        <v>492.99999999999989</v>
      </c>
    </row>
    <row r="50" spans="7:10" x14ac:dyDescent="0.25">
      <c r="H50" s="184"/>
    </row>
    <row r="51" spans="7:10" x14ac:dyDescent="0.25">
      <c r="G51" s="182" t="s">
        <v>229</v>
      </c>
      <c r="H51" s="184" t="s">
        <v>233</v>
      </c>
    </row>
    <row r="52" spans="7:10" x14ac:dyDescent="0.25">
      <c r="G52" t="s">
        <v>216</v>
      </c>
    </row>
    <row r="53" spans="7:10" x14ac:dyDescent="0.25">
      <c r="G53" t="s">
        <v>230</v>
      </c>
    </row>
    <row r="54" spans="7:10" x14ac:dyDescent="0.25">
      <c r="G54" t="s">
        <v>231</v>
      </c>
    </row>
    <row r="55" spans="7:10" x14ac:dyDescent="0.25">
      <c r="G55" t="s">
        <v>234</v>
      </c>
    </row>
    <row r="56" spans="7:10" x14ac:dyDescent="0.25">
      <c r="G56" t="s">
        <v>232</v>
      </c>
    </row>
  </sheetData>
  <phoneticPr fontId="4" type="noConversion"/>
  <pageMargins left="0.41" right="0.48" top="0.47" bottom="0.74" header="0.5" footer="0.5"/>
  <pageSetup paperSize="9" scale="75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Q51"/>
  <sheetViews>
    <sheetView zoomScale="110" zoomScaleNormal="110" workbookViewId="0">
      <pane xSplit="19" ySplit="5" topLeftCell="T6" activePane="bottomRight" state="frozen"/>
      <selection pane="topRight" activeCell="T1" sqref="T1"/>
      <selection pane="bottomLeft" activeCell="A10" sqref="A10"/>
      <selection pane="bottomRight" activeCell="AU3" sqref="AU3"/>
    </sheetView>
  </sheetViews>
  <sheetFormatPr defaultRowHeight="13.2" x14ac:dyDescent="0.25"/>
  <cols>
    <col min="1" max="1" width="3.6640625" customWidth="1"/>
    <col min="2" max="2" width="42.109375" bestFit="1" customWidth="1"/>
    <col min="3" max="3" width="6.6640625" bestFit="1" customWidth="1"/>
    <col min="4" max="4" width="4.6640625" bestFit="1" customWidth="1"/>
    <col min="5" max="5" width="2.33203125" customWidth="1"/>
    <col min="6" max="6" width="3.33203125" bestFit="1" customWidth="1"/>
    <col min="7" max="7" width="3.5546875" customWidth="1"/>
    <col min="8" max="8" width="2.88671875" customWidth="1"/>
    <col min="9" max="9" width="2.33203125" customWidth="1"/>
    <col min="10" max="10" width="2.88671875" bestFit="1" customWidth="1"/>
    <col min="11" max="13" width="2.5546875" customWidth="1"/>
    <col min="14" max="14" width="2.33203125" customWidth="1"/>
    <col min="15" max="15" width="2.5546875" customWidth="1"/>
    <col min="16" max="16" width="2.88671875" bestFit="1" customWidth="1"/>
    <col min="17" max="17" width="2.5546875" customWidth="1"/>
    <col min="18" max="18" width="2.33203125" customWidth="1"/>
    <col min="19" max="19" width="4.5546875" customWidth="1"/>
    <col min="20" max="22" width="2.5546875" customWidth="1"/>
    <col min="23" max="23" width="2.33203125" customWidth="1"/>
    <col min="24" max="26" width="2.5546875" customWidth="1"/>
    <col min="27" max="33" width="2.5546875" hidden="1" customWidth="1"/>
    <col min="34" max="34" width="3.88671875" customWidth="1"/>
    <col min="35" max="35" width="3.5546875" customWidth="1"/>
    <col min="36" max="36" width="3.33203125" customWidth="1"/>
    <col min="37" max="37" width="4.33203125" customWidth="1"/>
    <col min="38" max="38" width="3.5546875" customWidth="1"/>
    <col min="39" max="39" width="3.88671875" customWidth="1"/>
    <col min="40" max="40" width="3.6640625" customWidth="1"/>
    <col min="41" max="41" width="4.44140625" customWidth="1"/>
    <col min="42" max="42" width="4.33203125" customWidth="1"/>
    <col min="43" max="43" width="3.6640625" customWidth="1"/>
    <col min="44" max="44" width="3.6640625" bestFit="1" customWidth="1"/>
    <col min="45" max="45" width="3.6640625" customWidth="1"/>
    <col min="46" max="46" width="4.88671875" bestFit="1" customWidth="1"/>
    <col min="47" max="47" width="3.44140625" customWidth="1"/>
    <col min="48" max="48" width="3.5546875" customWidth="1"/>
    <col min="49" max="49" width="3.44140625" customWidth="1"/>
    <col min="50" max="50" width="4" customWidth="1"/>
    <col min="51" max="51" width="4" hidden="1" customWidth="1"/>
    <col min="52" max="52" width="4" customWidth="1"/>
    <col min="53" max="54" width="4" hidden="1" customWidth="1"/>
    <col min="55" max="56" width="4" customWidth="1"/>
    <col min="57" max="57" width="3.88671875" customWidth="1"/>
    <col min="58" max="62" width="7.44140625" customWidth="1"/>
  </cols>
  <sheetData>
    <row r="1" spans="1:169" s="27" customFormat="1" x14ac:dyDescent="0.25">
      <c r="A1" s="25"/>
      <c r="B1" s="25"/>
      <c r="C1" s="25"/>
      <c r="D1" s="25"/>
      <c r="E1" s="25"/>
      <c r="F1" s="25"/>
      <c r="G1" s="92" t="s">
        <v>0</v>
      </c>
      <c r="H1" s="92"/>
      <c r="I1" s="92"/>
      <c r="J1" s="92"/>
      <c r="K1" s="92"/>
      <c r="L1" s="28"/>
      <c r="M1" s="28"/>
      <c r="N1" s="28"/>
      <c r="O1" s="28"/>
      <c r="P1" s="1"/>
      <c r="Q1" s="1" t="s">
        <v>224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169" ht="15" customHeight="1" thickBot="1" x14ac:dyDescent="0.4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99"/>
      <c r="BG2" s="99"/>
      <c r="BH2" s="99"/>
      <c r="BI2" s="99"/>
      <c r="BJ2" s="99"/>
    </row>
    <row r="3" spans="1:169" ht="51" customHeight="1" thickBot="1" x14ac:dyDescent="0.3">
      <c r="A3" s="298" t="s">
        <v>1</v>
      </c>
      <c r="B3" s="300" t="s">
        <v>2</v>
      </c>
      <c r="C3" s="302" t="s">
        <v>3</v>
      </c>
      <c r="D3" s="304" t="s">
        <v>77</v>
      </c>
      <c r="E3" s="304" t="s">
        <v>40</v>
      </c>
      <c r="F3" s="304" t="s">
        <v>4</v>
      </c>
      <c r="G3" s="289" t="s">
        <v>5</v>
      </c>
      <c r="H3" s="290"/>
      <c r="I3" s="290"/>
      <c r="J3" s="291"/>
      <c r="K3" s="292" t="s">
        <v>46</v>
      </c>
      <c r="L3" s="293"/>
      <c r="M3" s="293"/>
      <c r="N3" s="293"/>
      <c r="O3" s="293"/>
      <c r="P3" s="293"/>
      <c r="Q3" s="293"/>
      <c r="R3" s="293"/>
      <c r="S3" s="293"/>
      <c r="T3" s="293"/>
      <c r="U3" s="293"/>
      <c r="V3" s="293"/>
      <c r="W3" s="293"/>
      <c r="X3" s="293"/>
      <c r="Y3" s="293"/>
      <c r="Z3" s="293"/>
      <c r="AA3" s="293"/>
      <c r="AB3" s="293"/>
      <c r="AC3" s="293"/>
      <c r="AD3" s="293"/>
      <c r="AE3" s="293"/>
      <c r="AF3" s="293"/>
      <c r="AG3" s="294"/>
      <c r="AH3" s="295" t="s">
        <v>56</v>
      </c>
      <c r="AI3" s="296"/>
      <c r="AJ3" s="297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39" t="s">
        <v>62</v>
      </c>
      <c r="BF3" s="135" t="s">
        <v>218</v>
      </c>
      <c r="BG3" s="135"/>
      <c r="BH3" s="135"/>
      <c r="BI3" s="135" t="s">
        <v>219</v>
      </c>
      <c r="BJ3" s="135" t="s">
        <v>220</v>
      </c>
      <c r="BM3" t="s">
        <v>218</v>
      </c>
    </row>
    <row r="4" spans="1:169" ht="91.8" x14ac:dyDescent="0.25">
      <c r="A4" s="299"/>
      <c r="B4" s="301"/>
      <c r="C4" s="303"/>
      <c r="D4" s="305"/>
      <c r="E4" s="305"/>
      <c r="F4" s="305"/>
      <c r="G4" s="14" t="s">
        <v>11</v>
      </c>
      <c r="H4" s="14" t="s">
        <v>12</v>
      </c>
      <c r="I4" s="14" t="s">
        <v>13</v>
      </c>
      <c r="J4" s="16" t="s">
        <v>14</v>
      </c>
      <c r="K4" s="30" t="s">
        <v>43</v>
      </c>
      <c r="L4" s="24" t="s">
        <v>44</v>
      </c>
      <c r="M4" s="31" t="s">
        <v>45</v>
      </c>
      <c r="N4" s="7" t="s">
        <v>47</v>
      </c>
      <c r="O4" s="7" t="s">
        <v>48</v>
      </c>
      <c r="P4" s="7" t="s">
        <v>49</v>
      </c>
      <c r="Q4" s="7" t="s">
        <v>7</v>
      </c>
      <c r="R4" s="7" t="s">
        <v>22</v>
      </c>
      <c r="S4" s="7" t="s">
        <v>50</v>
      </c>
      <c r="T4" s="7" t="s">
        <v>51</v>
      </c>
      <c r="U4" s="7" t="s">
        <v>52</v>
      </c>
      <c r="V4" s="7" t="s">
        <v>53</v>
      </c>
      <c r="W4" s="7" t="s">
        <v>29</v>
      </c>
      <c r="X4" s="7" t="s">
        <v>9</v>
      </c>
      <c r="Y4" s="7" t="s">
        <v>54</v>
      </c>
      <c r="Z4" s="7" t="s">
        <v>55</v>
      </c>
      <c r="AA4" s="7" t="s">
        <v>34</v>
      </c>
      <c r="AB4" s="7" t="s">
        <v>35</v>
      </c>
      <c r="AC4" s="7" t="s">
        <v>36</v>
      </c>
      <c r="AD4" s="7" t="s">
        <v>37</v>
      </c>
      <c r="AE4" s="7" t="s">
        <v>59</v>
      </c>
      <c r="AF4" s="7" t="s">
        <v>60</v>
      </c>
      <c r="AG4" s="15" t="s">
        <v>62</v>
      </c>
      <c r="AH4" s="5" t="s">
        <v>43</v>
      </c>
      <c r="AI4" s="5" t="s">
        <v>44</v>
      </c>
      <c r="AJ4" s="5" t="s">
        <v>45</v>
      </c>
      <c r="AK4" s="5" t="s">
        <v>42</v>
      </c>
      <c r="AL4" s="5" t="s">
        <v>15</v>
      </c>
      <c r="AM4" s="5" t="s">
        <v>16</v>
      </c>
      <c r="AN4" s="5" t="s">
        <v>15</v>
      </c>
      <c r="AO4" s="5" t="s">
        <v>17</v>
      </c>
      <c r="AP4" s="5" t="s">
        <v>18</v>
      </c>
      <c r="AQ4" s="5" t="s">
        <v>23</v>
      </c>
      <c r="AR4" s="5" t="s">
        <v>19</v>
      </c>
      <c r="AS4" s="5" t="s">
        <v>25</v>
      </c>
      <c r="AT4" s="5" t="s">
        <v>92</v>
      </c>
      <c r="AU4" s="5" t="s">
        <v>31</v>
      </c>
      <c r="AV4" s="5" t="s">
        <v>32</v>
      </c>
      <c r="AW4" s="5" t="s">
        <v>27</v>
      </c>
      <c r="AX4" s="5" t="s">
        <v>96</v>
      </c>
      <c r="AY4" s="5" t="s">
        <v>20</v>
      </c>
      <c r="AZ4" s="5" t="s">
        <v>26</v>
      </c>
      <c r="BA4" s="5" t="s">
        <v>20</v>
      </c>
      <c r="BB4" s="5" t="s">
        <v>38</v>
      </c>
      <c r="BC4" s="5" t="s">
        <v>58</v>
      </c>
      <c r="BD4" s="5" t="s">
        <v>61</v>
      </c>
      <c r="BE4" s="5" t="s">
        <v>63</v>
      </c>
      <c r="BF4" s="131" t="s">
        <v>21</v>
      </c>
      <c r="BG4" s="131"/>
      <c r="BH4" s="131"/>
      <c r="BI4" s="131" t="s">
        <v>21</v>
      </c>
      <c r="BJ4" s="131" t="s">
        <v>21</v>
      </c>
      <c r="BM4" t="s">
        <v>21</v>
      </c>
    </row>
    <row r="5" spans="1:169" s="190" customFormat="1" x14ac:dyDescent="0.25">
      <c r="A5" s="20"/>
      <c r="B5" s="21" t="s">
        <v>78</v>
      </c>
      <c r="C5" s="7"/>
      <c r="D5" s="198"/>
      <c r="E5" s="13"/>
      <c r="F5" s="14"/>
      <c r="G5" s="14"/>
      <c r="H5" s="14"/>
      <c r="I5" s="14"/>
      <c r="J5" s="16"/>
      <c r="K5" s="209"/>
      <c r="L5" s="200"/>
      <c r="M5" s="210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15"/>
      <c r="AL5" s="16"/>
      <c r="AM5" s="7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200"/>
      <c r="BF5" s="67">
        <f>SUM(BF6:BF27)</f>
        <v>0</v>
      </c>
      <c r="BG5" s="67"/>
      <c r="BI5" s="67"/>
      <c r="BJ5" s="67"/>
    </row>
    <row r="6" spans="1:169" s="129" customFormat="1" x14ac:dyDescent="0.25">
      <c r="A6" s="43"/>
      <c r="B6" s="201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 t="str">
        <f>IF(K6&lt;&gt;"",H6*K6,"")</f>
        <v/>
      </c>
      <c r="AI6" s="43" t="str">
        <f>IF(L6&lt;&gt;"",H6*L6,"")</f>
        <v/>
      </c>
      <c r="AJ6" s="43" t="str">
        <f t="shared" ref="AJ6" si="0">IF(M6&lt;&gt;"",M6*H6,"")</f>
        <v/>
      </c>
      <c r="AK6" s="43">
        <f>IF(E6="з",0.15,0.05)*IF(AH6&lt;&gt;"",AH6,0)+2*IF(N6=1,1,0)</f>
        <v>0</v>
      </c>
      <c r="AL6" s="43" t="str">
        <f>IF(N6&lt;&gt;"",0.33*G6,"")</f>
        <v/>
      </c>
      <c r="AM6" s="43" t="str">
        <f>IF(O6="+",0.25*G6,IF(O6="+Д",G6*0.33,""))</f>
        <v/>
      </c>
      <c r="AN6" s="43"/>
      <c r="AO6" s="43" t="str">
        <f>IF(Q6&lt;&gt;"",2*G6,"")</f>
        <v/>
      </c>
      <c r="AP6" s="43" t="str">
        <f>IF(R6&lt;&gt;"",3*H6,"")</f>
        <v/>
      </c>
      <c r="AQ6" s="43"/>
      <c r="AR6" s="43"/>
      <c r="AS6" s="43"/>
      <c r="AT6" s="43" t="str">
        <f>IF(V6&lt;&gt;"",0.5*G6,"")</f>
        <v/>
      </c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>
        <f>SUM(AH6:BE6)</f>
        <v>0</v>
      </c>
      <c r="BK6" s="207"/>
      <c r="BL6" s="207"/>
      <c r="BM6" s="207">
        <v>55.699999999999996</v>
      </c>
      <c r="BN6" s="207"/>
      <c r="BO6" s="207"/>
      <c r="BP6" s="207"/>
      <c r="BQ6" s="207"/>
      <c r="BR6" s="207"/>
      <c r="BS6" s="207"/>
      <c r="BT6" s="207"/>
      <c r="BU6" s="207"/>
      <c r="BV6" s="207"/>
      <c r="BW6" s="207"/>
      <c r="BX6" s="207"/>
      <c r="BY6" s="207"/>
      <c r="BZ6" s="207"/>
      <c r="CA6" s="207"/>
      <c r="CB6" s="207"/>
      <c r="CC6" s="207"/>
      <c r="CD6" s="207"/>
      <c r="CE6" s="207"/>
      <c r="CF6" s="207"/>
      <c r="CG6" s="207"/>
      <c r="CH6" s="207"/>
      <c r="CI6" s="207"/>
      <c r="CJ6" s="207"/>
      <c r="CK6" s="207"/>
      <c r="CL6" s="207"/>
      <c r="CM6" s="207"/>
      <c r="CN6" s="207"/>
      <c r="CO6" s="207"/>
      <c r="CP6" s="207"/>
      <c r="CQ6" s="207"/>
      <c r="CR6" s="207"/>
      <c r="CS6" s="207"/>
      <c r="CT6" s="207"/>
      <c r="CU6" s="207"/>
      <c r="CV6" s="207"/>
      <c r="CW6" s="207"/>
      <c r="CX6" s="207"/>
      <c r="CY6" s="207"/>
      <c r="CZ6" s="207"/>
      <c r="DA6" s="207"/>
      <c r="DB6" s="207"/>
      <c r="DC6" s="207"/>
      <c r="DD6" s="207"/>
      <c r="DE6" s="207"/>
      <c r="DF6" s="207"/>
      <c r="DG6" s="207"/>
      <c r="DH6" s="207"/>
      <c r="DI6" s="207"/>
      <c r="DJ6" s="207"/>
      <c r="DK6" s="207"/>
      <c r="DL6" s="207"/>
      <c r="DM6" s="207"/>
      <c r="DN6" s="207"/>
      <c r="DO6" s="207"/>
      <c r="DP6" s="207"/>
      <c r="DQ6" s="207"/>
      <c r="DR6" s="207"/>
      <c r="DS6" s="207"/>
      <c r="DT6" s="207"/>
      <c r="DU6" s="207"/>
      <c r="DV6" s="207"/>
      <c r="DW6" s="207"/>
      <c r="DX6" s="207"/>
      <c r="DY6" s="207"/>
      <c r="DZ6" s="207"/>
      <c r="EA6" s="207"/>
      <c r="EB6" s="207"/>
      <c r="EC6" s="207"/>
      <c r="ED6" s="207"/>
      <c r="EE6" s="207"/>
      <c r="EF6" s="207"/>
      <c r="EG6" s="207"/>
      <c r="EH6" s="207"/>
      <c r="EI6" s="207"/>
      <c r="EJ6" s="207"/>
      <c r="EK6" s="207"/>
      <c r="EL6" s="207"/>
      <c r="EM6" s="207"/>
      <c r="EN6" s="207"/>
      <c r="EO6" s="207"/>
      <c r="EP6" s="207"/>
      <c r="EQ6" s="207"/>
      <c r="ER6" s="207"/>
      <c r="ES6" s="207"/>
      <c r="ET6" s="207"/>
      <c r="EU6" s="207"/>
      <c r="EV6" s="207"/>
      <c r="EW6" s="207"/>
      <c r="EX6" s="207"/>
      <c r="EY6" s="207"/>
      <c r="EZ6" s="207"/>
      <c r="FA6" s="207"/>
      <c r="FB6" s="207"/>
      <c r="FC6" s="207"/>
      <c r="FD6" s="207"/>
      <c r="FE6" s="207"/>
      <c r="FF6" s="207"/>
      <c r="FG6" s="207"/>
      <c r="FH6" s="207"/>
      <c r="FI6" s="207"/>
      <c r="FJ6" s="207"/>
      <c r="FK6" s="207"/>
      <c r="FL6" s="207"/>
      <c r="FM6" s="207"/>
    </row>
    <row r="7" spans="1:169" s="207" customFormat="1" x14ac:dyDescent="0.25">
      <c r="A7" s="43"/>
      <c r="B7" s="201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 t="str">
        <f t="shared" ref="AH7:AH51" si="1">IF(K7&lt;&gt;"",H7*K7,"")</f>
        <v/>
      </c>
      <c r="AI7" s="43" t="str">
        <f t="shared" ref="AI7:AI51" si="2">IF(L7&lt;&gt;"",H7*L7,"")</f>
        <v/>
      </c>
      <c r="AJ7" s="43" t="str">
        <f t="shared" ref="AJ7:AJ51" si="3">IF(M7&lt;&gt;"",M7*H7,"")</f>
        <v/>
      </c>
      <c r="AK7" s="43">
        <f t="shared" ref="AK7:AK39" si="4">IF(E7="з",0.15,0.05)*IF(AH7&lt;&gt;"",AH7,0)+2*IF(N7=1,1,0)</f>
        <v>0</v>
      </c>
      <c r="AL7" s="43" t="str">
        <f t="shared" ref="AL7:AL51" si="5">IF(N7&lt;&gt;"",0.33*G7,"")</f>
        <v/>
      </c>
      <c r="AM7" s="43" t="str">
        <f t="shared" ref="AM7:AM51" si="6">IF(O7="+",0.25*G7,IF(O7="+Д",G7*0.33,""))</f>
        <v/>
      </c>
      <c r="AN7" s="43"/>
      <c r="AO7" s="43" t="str">
        <f t="shared" ref="AO7:AO51" si="7">IF(Q7&lt;&gt;"",2*G7,"")</f>
        <v/>
      </c>
      <c r="AP7" s="43" t="str">
        <f t="shared" ref="AP7:AP51" si="8">IF(R7&lt;&gt;"",3*H7,"")</f>
        <v/>
      </c>
      <c r="AQ7" s="43"/>
      <c r="AR7" s="43"/>
      <c r="AS7" s="43"/>
      <c r="AT7" s="43" t="str">
        <f t="shared" ref="AT7:AT51" si="9">IF(V7&lt;&gt;"",0.5*G7,"")</f>
        <v/>
      </c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>
        <f t="shared" ref="BF7:BF51" si="10">SUM(AH7:BE7)</f>
        <v>0</v>
      </c>
      <c r="BG7" s="129"/>
      <c r="BH7" s="129"/>
      <c r="BJ7" s="129"/>
      <c r="BM7" s="129">
        <v>107.7</v>
      </c>
    </row>
    <row r="8" spans="1:169" s="207" customFormat="1" x14ac:dyDescent="0.25">
      <c r="A8" s="43"/>
      <c r="B8" s="201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 t="str">
        <f t="shared" si="1"/>
        <v/>
      </c>
      <c r="AI8" s="43" t="str">
        <f t="shared" si="2"/>
        <v/>
      </c>
      <c r="AJ8" s="43" t="str">
        <f t="shared" si="3"/>
        <v/>
      </c>
      <c r="AK8" s="43">
        <f t="shared" si="4"/>
        <v>0</v>
      </c>
      <c r="AL8" s="43" t="str">
        <f t="shared" si="5"/>
        <v/>
      </c>
      <c r="AM8" s="43" t="str">
        <f t="shared" si="6"/>
        <v/>
      </c>
      <c r="AN8" s="43"/>
      <c r="AO8" s="43" t="str">
        <f t="shared" si="7"/>
        <v/>
      </c>
      <c r="AP8" s="43" t="str">
        <f t="shared" si="8"/>
        <v/>
      </c>
      <c r="AQ8" s="43"/>
      <c r="AR8" s="43"/>
      <c r="AS8" s="43"/>
      <c r="AT8" s="43" t="str">
        <f t="shared" si="9"/>
        <v/>
      </c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>
        <f t="shared" si="10"/>
        <v>0</v>
      </c>
      <c r="BG8" s="129"/>
      <c r="BH8" s="129"/>
      <c r="BM8" s="129">
        <v>93.100000000000009</v>
      </c>
    </row>
    <row r="9" spans="1:169" s="207" customFormat="1" x14ac:dyDescent="0.25">
      <c r="A9" s="43"/>
      <c r="B9" s="201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 t="str">
        <f t="shared" si="1"/>
        <v/>
      </c>
      <c r="AI9" s="43" t="str">
        <f t="shared" si="2"/>
        <v/>
      </c>
      <c r="AJ9" s="43" t="str">
        <f t="shared" si="3"/>
        <v/>
      </c>
      <c r="AK9" s="43">
        <f t="shared" si="4"/>
        <v>0</v>
      </c>
      <c r="AL9" s="43" t="str">
        <f t="shared" si="5"/>
        <v/>
      </c>
      <c r="AM9" s="43" t="str">
        <f t="shared" si="6"/>
        <v/>
      </c>
      <c r="AN9" s="43"/>
      <c r="AO9" s="43" t="str">
        <f t="shared" si="7"/>
        <v/>
      </c>
      <c r="AP9" s="43" t="str">
        <f t="shared" si="8"/>
        <v/>
      </c>
      <c r="AQ9" s="43"/>
      <c r="AR9" s="43"/>
      <c r="AS9" s="43"/>
      <c r="AT9" s="43" t="str">
        <f t="shared" si="9"/>
        <v/>
      </c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>
        <f t="shared" si="10"/>
        <v>0</v>
      </c>
      <c r="BG9" s="129"/>
      <c r="BH9" s="129"/>
      <c r="BL9" s="129"/>
      <c r="BM9" s="129">
        <v>76.100000000000009</v>
      </c>
      <c r="BN9" s="129"/>
      <c r="BO9" s="129"/>
    </row>
    <row r="10" spans="1:169" s="207" customFormat="1" x14ac:dyDescent="0.25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 t="str">
        <f t="shared" si="1"/>
        <v/>
      </c>
      <c r="AI10" s="43" t="str">
        <f t="shared" si="2"/>
        <v/>
      </c>
      <c r="AJ10" s="43" t="str">
        <f t="shared" si="3"/>
        <v/>
      </c>
      <c r="AK10" s="43">
        <f t="shared" si="4"/>
        <v>0</v>
      </c>
      <c r="AL10" s="43" t="str">
        <f t="shared" si="5"/>
        <v/>
      </c>
      <c r="AM10" s="43" t="str">
        <f t="shared" si="6"/>
        <v/>
      </c>
      <c r="AN10" s="43"/>
      <c r="AO10" s="43" t="str">
        <f t="shared" si="7"/>
        <v/>
      </c>
      <c r="AP10" s="43" t="str">
        <f t="shared" si="8"/>
        <v/>
      </c>
      <c r="AQ10" s="43"/>
      <c r="AR10" s="43"/>
      <c r="AS10" s="43"/>
      <c r="AT10" s="43" t="str">
        <f t="shared" si="9"/>
        <v/>
      </c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>
        <f t="shared" si="10"/>
        <v>0</v>
      </c>
      <c r="BG10" s="129"/>
      <c r="BH10" s="129"/>
      <c r="BL10" s="129"/>
      <c r="BM10" s="129">
        <v>70.7</v>
      </c>
      <c r="BN10" s="129"/>
      <c r="BO10" s="129"/>
    </row>
    <row r="11" spans="1:169" s="129" customFormat="1" ht="12.75" customHeight="1" x14ac:dyDescent="0.25">
      <c r="A11" s="43"/>
      <c r="B11" s="201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 t="str">
        <f t="shared" si="1"/>
        <v/>
      </c>
      <c r="AI11" s="43" t="str">
        <f t="shared" si="2"/>
        <v/>
      </c>
      <c r="AJ11" s="43" t="str">
        <f t="shared" si="3"/>
        <v/>
      </c>
      <c r="AK11" s="43">
        <f t="shared" si="4"/>
        <v>0</v>
      </c>
      <c r="AL11" s="43" t="str">
        <f t="shared" si="5"/>
        <v/>
      </c>
      <c r="AM11" s="43" t="str">
        <f t="shared" si="6"/>
        <v/>
      </c>
      <c r="AN11" s="43"/>
      <c r="AO11" s="43" t="str">
        <f t="shared" si="7"/>
        <v/>
      </c>
      <c r="AP11" s="43" t="str">
        <f t="shared" si="8"/>
        <v/>
      </c>
      <c r="AQ11" s="43"/>
      <c r="AR11" s="43"/>
      <c r="AS11" s="43"/>
      <c r="AT11" s="43" t="str">
        <f t="shared" si="9"/>
        <v/>
      </c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>
        <f t="shared" si="10"/>
        <v>0</v>
      </c>
      <c r="BH11" s="252"/>
      <c r="BI11" s="252"/>
      <c r="BJ11" s="252"/>
      <c r="BK11" s="252"/>
      <c r="BM11" s="129">
        <v>77.7</v>
      </c>
    </row>
    <row r="12" spans="1:169" s="207" customFormat="1" x14ac:dyDescent="0.25">
      <c r="A12" s="43"/>
      <c r="B12" s="201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 t="str">
        <f t="shared" si="1"/>
        <v/>
      </c>
      <c r="AI12" s="43" t="str">
        <f t="shared" si="2"/>
        <v/>
      </c>
      <c r="AJ12" s="43" t="str">
        <f t="shared" si="3"/>
        <v/>
      </c>
      <c r="AK12" s="43">
        <f t="shared" si="4"/>
        <v>0</v>
      </c>
      <c r="AL12" s="43" t="str">
        <f t="shared" si="5"/>
        <v/>
      </c>
      <c r="AM12" s="43" t="str">
        <f t="shared" si="6"/>
        <v/>
      </c>
      <c r="AN12" s="43"/>
      <c r="AO12" s="43" t="str">
        <f t="shared" si="7"/>
        <v/>
      </c>
      <c r="AP12" s="43" t="str">
        <f t="shared" si="8"/>
        <v/>
      </c>
      <c r="AQ12" s="43"/>
      <c r="AR12" s="43"/>
      <c r="AS12" s="43"/>
      <c r="AT12" s="43" t="str">
        <f t="shared" si="9"/>
        <v/>
      </c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>
        <f t="shared" si="10"/>
        <v>0</v>
      </c>
      <c r="BG12" s="129"/>
      <c r="BH12" s="129"/>
      <c r="BL12" s="129"/>
      <c r="BM12" s="129">
        <f>SUM(BM6:BM11)</f>
        <v>481</v>
      </c>
      <c r="BN12" s="129"/>
      <c r="BO12" s="129"/>
    </row>
    <row r="13" spans="1:169" s="207" customFormat="1" x14ac:dyDescent="0.25">
      <c r="A13" s="43"/>
      <c r="B13" s="201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 t="str">
        <f t="shared" si="1"/>
        <v/>
      </c>
      <c r="AI13" s="43" t="str">
        <f t="shared" si="2"/>
        <v/>
      </c>
      <c r="AJ13" s="43" t="str">
        <f t="shared" si="3"/>
        <v/>
      </c>
      <c r="AK13" s="43">
        <f t="shared" si="4"/>
        <v>0</v>
      </c>
      <c r="AL13" s="43" t="str">
        <f t="shared" si="5"/>
        <v/>
      </c>
      <c r="AM13" s="43" t="str">
        <f t="shared" si="6"/>
        <v/>
      </c>
      <c r="AN13" s="43"/>
      <c r="AO13" s="43" t="str">
        <f t="shared" si="7"/>
        <v/>
      </c>
      <c r="AP13" s="43" t="str">
        <f t="shared" si="8"/>
        <v/>
      </c>
      <c r="AQ13" s="43"/>
      <c r="AR13" s="43"/>
      <c r="AS13" s="43"/>
      <c r="AT13" s="43" t="str">
        <f t="shared" si="9"/>
        <v/>
      </c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>
        <f t="shared" si="10"/>
        <v>0</v>
      </c>
      <c r="BG13" s="129"/>
      <c r="BH13" s="129"/>
      <c r="BL13" s="129"/>
      <c r="BN13" s="129"/>
      <c r="BO13" s="129"/>
    </row>
    <row r="14" spans="1:169" s="207" customFormat="1" x14ac:dyDescent="0.25">
      <c r="A14" s="43"/>
      <c r="B14" s="201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 t="str">
        <f t="shared" si="1"/>
        <v/>
      </c>
      <c r="AI14" s="43" t="str">
        <f t="shared" si="2"/>
        <v/>
      </c>
      <c r="AJ14" s="43" t="str">
        <f t="shared" si="3"/>
        <v/>
      </c>
      <c r="AK14" s="43">
        <f t="shared" si="4"/>
        <v>0</v>
      </c>
      <c r="AL14" s="43" t="str">
        <f t="shared" si="5"/>
        <v/>
      </c>
      <c r="AM14" s="43" t="str">
        <f t="shared" si="6"/>
        <v/>
      </c>
      <c r="AN14" s="43"/>
      <c r="AO14" s="43" t="str">
        <f t="shared" si="7"/>
        <v/>
      </c>
      <c r="AP14" s="43" t="str">
        <f t="shared" si="8"/>
        <v/>
      </c>
      <c r="AQ14" s="43"/>
      <c r="AR14" s="43"/>
      <c r="AS14" s="43"/>
      <c r="AT14" s="43" t="str">
        <f t="shared" si="9"/>
        <v/>
      </c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>
        <f t="shared" si="10"/>
        <v>0</v>
      </c>
      <c r="BG14" s="129"/>
      <c r="BH14" s="129"/>
      <c r="BL14" s="129"/>
      <c r="BN14" s="129"/>
      <c r="BO14" s="129"/>
    </row>
    <row r="15" spans="1:169" s="207" customFormat="1" x14ac:dyDescent="0.25">
      <c r="A15" s="43"/>
      <c r="B15" s="201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 t="str">
        <f t="shared" si="1"/>
        <v/>
      </c>
      <c r="AI15" s="43" t="str">
        <f t="shared" si="2"/>
        <v/>
      </c>
      <c r="AJ15" s="43" t="str">
        <f t="shared" si="3"/>
        <v/>
      </c>
      <c r="AK15" s="43">
        <f t="shared" si="4"/>
        <v>0</v>
      </c>
      <c r="AL15" s="43" t="str">
        <f t="shared" si="5"/>
        <v/>
      </c>
      <c r="AM15" s="43" t="str">
        <f t="shared" si="6"/>
        <v/>
      </c>
      <c r="AN15" s="43"/>
      <c r="AO15" s="43" t="str">
        <f t="shared" si="7"/>
        <v/>
      </c>
      <c r="AP15" s="43" t="str">
        <f t="shared" si="8"/>
        <v/>
      </c>
      <c r="AQ15" s="43"/>
      <c r="AR15" s="43"/>
      <c r="AS15" s="43"/>
      <c r="AT15" s="43" t="str">
        <f t="shared" si="9"/>
        <v/>
      </c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>
        <f t="shared" si="10"/>
        <v>0</v>
      </c>
      <c r="BG15" s="129"/>
      <c r="BH15" s="129"/>
      <c r="BL15" s="129"/>
      <c r="BM15" s="129"/>
      <c r="BN15" s="129"/>
      <c r="BO15" s="129"/>
    </row>
    <row r="16" spans="1:169" s="207" customFormat="1" x14ac:dyDescent="0.25">
      <c r="A16" s="43"/>
      <c r="B16" s="201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 t="str">
        <f t="shared" si="1"/>
        <v/>
      </c>
      <c r="AI16" s="43" t="str">
        <f t="shared" si="2"/>
        <v/>
      </c>
      <c r="AJ16" s="43" t="str">
        <f t="shared" si="3"/>
        <v/>
      </c>
      <c r="AK16" s="43">
        <f t="shared" si="4"/>
        <v>0</v>
      </c>
      <c r="AL16" s="43" t="str">
        <f t="shared" si="5"/>
        <v/>
      </c>
      <c r="AM16" s="43" t="str">
        <f t="shared" si="6"/>
        <v/>
      </c>
      <c r="AN16" s="43"/>
      <c r="AO16" s="43" t="str">
        <f t="shared" si="7"/>
        <v/>
      </c>
      <c r="AP16" s="43" t="str">
        <f t="shared" si="8"/>
        <v/>
      </c>
      <c r="AQ16" s="43"/>
      <c r="AR16" s="43"/>
      <c r="AS16" s="43"/>
      <c r="AT16" s="43" t="str">
        <f t="shared" si="9"/>
        <v/>
      </c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>
        <f t="shared" si="10"/>
        <v>0</v>
      </c>
      <c r="BG16" s="129"/>
      <c r="BH16" s="129"/>
      <c r="BL16" s="129"/>
      <c r="BM16" s="129"/>
      <c r="BN16" s="129"/>
      <c r="BO16" s="129"/>
    </row>
    <row r="17" spans="1:251" s="207" customFormat="1" x14ac:dyDescent="0.25">
      <c r="A17" s="43"/>
      <c r="B17" s="201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 t="str">
        <f t="shared" si="1"/>
        <v/>
      </c>
      <c r="AI17" s="43" t="str">
        <f t="shared" si="2"/>
        <v/>
      </c>
      <c r="AJ17" s="43" t="str">
        <f t="shared" si="3"/>
        <v/>
      </c>
      <c r="AK17" s="43">
        <f t="shared" si="4"/>
        <v>0</v>
      </c>
      <c r="AL17" s="43" t="str">
        <f t="shared" si="5"/>
        <v/>
      </c>
      <c r="AM17" s="43" t="str">
        <f t="shared" si="6"/>
        <v/>
      </c>
      <c r="AN17" s="43"/>
      <c r="AO17" s="43" t="str">
        <f t="shared" si="7"/>
        <v/>
      </c>
      <c r="AP17" s="43" t="str">
        <f t="shared" si="8"/>
        <v/>
      </c>
      <c r="AQ17" s="43"/>
      <c r="AR17" s="43"/>
      <c r="AS17" s="43"/>
      <c r="AT17" s="43" t="str">
        <f t="shared" si="9"/>
        <v/>
      </c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>
        <f t="shared" si="10"/>
        <v>0</v>
      </c>
      <c r="BG17" s="129"/>
      <c r="BH17" s="129"/>
      <c r="BL17" s="129"/>
      <c r="BM17" s="129"/>
      <c r="BN17" s="129"/>
      <c r="BO17" s="129"/>
    </row>
    <row r="18" spans="1:251" s="207" customFormat="1" x14ac:dyDescent="0.25">
      <c r="A18" s="43"/>
      <c r="B18" s="201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 t="str">
        <f t="shared" si="1"/>
        <v/>
      </c>
      <c r="AI18" s="43" t="str">
        <f t="shared" si="2"/>
        <v/>
      </c>
      <c r="AJ18" s="43" t="str">
        <f t="shared" si="3"/>
        <v/>
      </c>
      <c r="AK18" s="43">
        <f t="shared" si="4"/>
        <v>0</v>
      </c>
      <c r="AL18" s="43" t="str">
        <f t="shared" si="5"/>
        <v/>
      </c>
      <c r="AM18" s="43" t="str">
        <f t="shared" si="6"/>
        <v/>
      </c>
      <c r="AN18" s="43"/>
      <c r="AO18" s="43" t="str">
        <f t="shared" si="7"/>
        <v/>
      </c>
      <c r="AP18" s="43" t="str">
        <f t="shared" si="8"/>
        <v/>
      </c>
      <c r="AQ18" s="43"/>
      <c r="AR18" s="43"/>
      <c r="AS18" s="43"/>
      <c r="AT18" s="43" t="str">
        <f t="shared" si="9"/>
        <v/>
      </c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>
        <f t="shared" si="10"/>
        <v>0</v>
      </c>
      <c r="BG18" s="129"/>
      <c r="BH18" s="129"/>
      <c r="BK18" s="129"/>
      <c r="BL18" s="129"/>
      <c r="BM18" s="129"/>
      <c r="BN18" s="129"/>
      <c r="BO18" s="129"/>
    </row>
    <row r="19" spans="1:251" s="207" customFormat="1" x14ac:dyDescent="0.25">
      <c r="A19" s="43"/>
      <c r="B19" s="201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 t="str">
        <f t="shared" si="1"/>
        <v/>
      </c>
      <c r="AI19" s="43" t="str">
        <f t="shared" si="2"/>
        <v/>
      </c>
      <c r="AJ19" s="43" t="str">
        <f t="shared" si="3"/>
        <v/>
      </c>
      <c r="AK19" s="43">
        <f t="shared" si="4"/>
        <v>0</v>
      </c>
      <c r="AL19" s="43" t="str">
        <f t="shared" si="5"/>
        <v/>
      </c>
      <c r="AM19" s="43" t="str">
        <f t="shared" si="6"/>
        <v/>
      </c>
      <c r="AN19" s="43"/>
      <c r="AO19" s="43" t="str">
        <f t="shared" si="7"/>
        <v/>
      </c>
      <c r="AP19" s="43" t="str">
        <f t="shared" si="8"/>
        <v/>
      </c>
      <c r="AQ19" s="43"/>
      <c r="AR19" s="43"/>
      <c r="AS19" s="43"/>
      <c r="AT19" s="43" t="str">
        <f t="shared" si="9"/>
        <v/>
      </c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>
        <f t="shared" si="10"/>
        <v>0</v>
      </c>
      <c r="BG19" s="129"/>
      <c r="BH19" s="129"/>
      <c r="BI19" s="129"/>
    </row>
    <row r="20" spans="1:251" s="207" customFormat="1" x14ac:dyDescent="0.25">
      <c r="A20" s="43"/>
      <c r="B20" s="201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 t="str">
        <f t="shared" si="1"/>
        <v/>
      </c>
      <c r="AI20" s="43" t="str">
        <f t="shared" si="2"/>
        <v/>
      </c>
      <c r="AJ20" s="43" t="str">
        <f t="shared" si="3"/>
        <v/>
      </c>
      <c r="AK20" s="43">
        <f t="shared" si="4"/>
        <v>0</v>
      </c>
      <c r="AL20" s="43" t="str">
        <f t="shared" si="5"/>
        <v/>
      </c>
      <c r="AM20" s="43" t="str">
        <f t="shared" si="6"/>
        <v/>
      </c>
      <c r="AN20" s="43"/>
      <c r="AO20" s="43" t="str">
        <f t="shared" si="7"/>
        <v/>
      </c>
      <c r="AP20" s="43" t="str">
        <f t="shared" si="8"/>
        <v/>
      </c>
      <c r="AQ20" s="43"/>
      <c r="AR20" s="43"/>
      <c r="AS20" s="43"/>
      <c r="AT20" s="43" t="str">
        <f t="shared" si="9"/>
        <v/>
      </c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>
        <f t="shared" si="10"/>
        <v>0</v>
      </c>
      <c r="BG20" s="263"/>
      <c r="BH20" s="263"/>
      <c r="BP20" s="252"/>
      <c r="BQ20" s="129"/>
      <c r="BR20" s="129"/>
      <c r="BS20" s="129"/>
      <c r="BT20" s="129"/>
      <c r="BU20" s="129"/>
      <c r="BV20" s="129"/>
      <c r="BW20" s="129"/>
      <c r="BX20" s="129"/>
      <c r="BY20" s="129"/>
      <c r="BZ20" s="129"/>
      <c r="CA20" s="129"/>
      <c r="CB20" s="129"/>
      <c r="CC20" s="129"/>
      <c r="CD20" s="129"/>
      <c r="CE20" s="129"/>
      <c r="CF20" s="129"/>
      <c r="CG20" s="129"/>
      <c r="CH20" s="129"/>
      <c r="CI20" s="129"/>
      <c r="CJ20" s="129"/>
      <c r="CK20" s="129"/>
      <c r="CL20" s="129"/>
      <c r="CM20" s="129"/>
      <c r="CN20" s="129"/>
      <c r="CO20" s="129"/>
      <c r="CP20" s="129"/>
      <c r="CQ20" s="129"/>
      <c r="CR20" s="129"/>
      <c r="CS20" s="129"/>
      <c r="CT20" s="129"/>
      <c r="CU20" s="129"/>
      <c r="CV20" s="129"/>
      <c r="CW20" s="129"/>
      <c r="CX20" s="129"/>
      <c r="CY20" s="129"/>
      <c r="CZ20" s="129"/>
      <c r="DA20" s="129"/>
      <c r="DB20" s="129"/>
      <c r="DC20" s="129"/>
      <c r="DD20" s="129"/>
      <c r="DE20" s="129"/>
      <c r="DF20" s="129"/>
      <c r="DG20" s="129"/>
      <c r="DH20" s="129"/>
      <c r="DI20" s="129"/>
      <c r="DJ20" s="129"/>
      <c r="DK20" s="129"/>
      <c r="DL20" s="129"/>
      <c r="DM20" s="129"/>
      <c r="DN20" s="129"/>
      <c r="DO20" s="129"/>
      <c r="DP20" s="129"/>
      <c r="DQ20" s="129"/>
      <c r="DR20" s="129"/>
      <c r="DS20" s="129"/>
      <c r="DT20" s="129"/>
      <c r="DU20" s="129"/>
      <c r="DV20" s="129"/>
      <c r="DW20" s="129"/>
      <c r="DX20" s="129"/>
      <c r="DY20" s="129"/>
      <c r="DZ20" s="129"/>
      <c r="EA20" s="129"/>
      <c r="EB20" s="129"/>
      <c r="EC20" s="129"/>
      <c r="ED20" s="129"/>
      <c r="EE20" s="129"/>
      <c r="EF20" s="129"/>
      <c r="EG20" s="129"/>
      <c r="EH20" s="129"/>
      <c r="EI20" s="129"/>
      <c r="EJ20" s="129"/>
      <c r="EK20" s="129"/>
      <c r="EL20" s="129"/>
      <c r="EM20" s="129"/>
      <c r="EN20" s="129"/>
      <c r="EO20" s="129"/>
      <c r="EP20" s="129"/>
      <c r="EQ20" s="129"/>
      <c r="ER20" s="129"/>
      <c r="ES20" s="129"/>
      <c r="ET20" s="129"/>
      <c r="EU20" s="129"/>
      <c r="EV20" s="129"/>
      <c r="EW20" s="129"/>
      <c r="EX20" s="129"/>
      <c r="EY20" s="129"/>
      <c r="EZ20" s="129"/>
      <c r="FA20" s="129"/>
      <c r="FB20" s="129"/>
      <c r="FC20" s="129"/>
      <c r="FD20" s="129"/>
      <c r="FE20" s="129"/>
      <c r="FF20" s="129"/>
      <c r="FG20" s="129"/>
      <c r="FH20" s="129"/>
      <c r="FI20" s="129"/>
      <c r="FJ20" s="129"/>
      <c r="FK20" s="129"/>
      <c r="FL20" s="129"/>
      <c r="FM20" s="129"/>
      <c r="FN20" s="129"/>
      <c r="FO20" s="129"/>
      <c r="FP20" s="129"/>
      <c r="FQ20" s="129"/>
      <c r="FR20" s="129"/>
      <c r="FS20" s="129"/>
      <c r="FT20" s="129"/>
      <c r="FU20" s="129"/>
      <c r="FV20" s="129"/>
      <c r="FW20" s="129"/>
      <c r="FX20" s="129"/>
      <c r="FY20" s="129"/>
      <c r="FZ20" s="129"/>
      <c r="GA20" s="129"/>
      <c r="GB20" s="129"/>
      <c r="GC20" s="129"/>
      <c r="GD20" s="129"/>
      <c r="GE20" s="129"/>
      <c r="GF20" s="129"/>
      <c r="GG20" s="129"/>
      <c r="GH20" s="129"/>
      <c r="GI20" s="129"/>
      <c r="GJ20" s="129"/>
      <c r="GK20" s="129"/>
      <c r="GL20" s="129"/>
      <c r="GM20" s="129"/>
      <c r="GN20" s="129"/>
      <c r="GO20" s="129"/>
      <c r="GP20" s="129"/>
      <c r="GQ20" s="129"/>
      <c r="GR20" s="129"/>
      <c r="GS20" s="129"/>
      <c r="GT20" s="129"/>
      <c r="GU20" s="129"/>
      <c r="GV20" s="129"/>
      <c r="GW20" s="129"/>
      <c r="GX20" s="129"/>
      <c r="GY20" s="129"/>
      <c r="GZ20" s="129"/>
      <c r="HA20" s="129"/>
      <c r="HB20" s="129"/>
      <c r="HC20" s="129"/>
      <c r="HD20" s="129"/>
      <c r="HE20" s="129"/>
      <c r="HF20" s="129"/>
      <c r="HG20" s="129"/>
      <c r="HH20" s="129"/>
      <c r="HI20" s="129"/>
      <c r="HJ20" s="129"/>
      <c r="HK20" s="129"/>
      <c r="HL20" s="129"/>
      <c r="HM20" s="129"/>
      <c r="HN20" s="129"/>
      <c r="HO20" s="129"/>
      <c r="HP20" s="129"/>
      <c r="HQ20" s="129"/>
      <c r="HR20" s="129"/>
      <c r="HS20" s="129"/>
      <c r="HT20" s="129"/>
      <c r="HU20" s="129"/>
      <c r="HV20" s="129"/>
      <c r="HW20" s="129"/>
      <c r="HX20" s="129"/>
      <c r="HY20" s="129"/>
      <c r="HZ20" s="129"/>
      <c r="IA20" s="129"/>
      <c r="IB20" s="129"/>
      <c r="IC20" s="129"/>
      <c r="ID20" s="129"/>
      <c r="IE20" s="129"/>
      <c r="IF20" s="129"/>
      <c r="IG20" s="129"/>
      <c r="IH20" s="129"/>
      <c r="II20" s="129"/>
      <c r="IJ20" s="129"/>
      <c r="IK20" s="129"/>
      <c r="IL20" s="129"/>
      <c r="IM20" s="129"/>
      <c r="IN20" s="129"/>
      <c r="IO20" s="129"/>
      <c r="IP20" s="129"/>
      <c r="IQ20" s="129"/>
    </row>
    <row r="21" spans="1:251" s="207" customFormat="1" x14ac:dyDescent="0.25">
      <c r="A21" s="43"/>
      <c r="B21" s="201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 t="str">
        <f t="shared" si="1"/>
        <v/>
      </c>
      <c r="AI21" s="43" t="str">
        <f t="shared" si="2"/>
        <v/>
      </c>
      <c r="AJ21" s="43" t="str">
        <f t="shared" si="3"/>
        <v/>
      </c>
      <c r="AK21" s="43">
        <f t="shared" si="4"/>
        <v>0</v>
      </c>
      <c r="AL21" s="43" t="str">
        <f t="shared" si="5"/>
        <v/>
      </c>
      <c r="AM21" s="43" t="str">
        <f t="shared" si="6"/>
        <v/>
      </c>
      <c r="AN21" s="43"/>
      <c r="AO21" s="43" t="str">
        <f t="shared" si="7"/>
        <v/>
      </c>
      <c r="AP21" s="43" t="str">
        <f t="shared" si="8"/>
        <v/>
      </c>
      <c r="AQ21" s="43"/>
      <c r="AR21" s="43"/>
      <c r="AS21" s="43"/>
      <c r="AT21" s="43" t="str">
        <f t="shared" si="9"/>
        <v/>
      </c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>
        <f t="shared" si="10"/>
        <v>0</v>
      </c>
      <c r="BG21" s="263"/>
      <c r="BH21" s="263"/>
      <c r="BP21" s="252"/>
      <c r="BQ21" s="129"/>
      <c r="BR21" s="129"/>
      <c r="BS21" s="129"/>
      <c r="BT21" s="129"/>
      <c r="BU21" s="129"/>
      <c r="BV21" s="129"/>
      <c r="BW21" s="129"/>
      <c r="BX21" s="129"/>
      <c r="BY21" s="129"/>
      <c r="BZ21" s="129"/>
      <c r="CA21" s="129"/>
      <c r="CB21" s="129"/>
      <c r="CC21" s="129"/>
      <c r="CD21" s="129"/>
      <c r="CE21" s="129"/>
      <c r="CF21" s="129"/>
      <c r="CG21" s="129"/>
      <c r="CH21" s="129"/>
      <c r="CI21" s="129"/>
      <c r="CJ21" s="129"/>
      <c r="CK21" s="129"/>
      <c r="CL21" s="129"/>
      <c r="CM21" s="129"/>
      <c r="CN21" s="129"/>
      <c r="CO21" s="129"/>
      <c r="CP21" s="129"/>
      <c r="CQ21" s="129"/>
      <c r="CR21" s="129"/>
      <c r="CS21" s="129"/>
      <c r="CT21" s="129"/>
      <c r="CU21" s="129"/>
      <c r="CV21" s="129"/>
      <c r="CW21" s="129"/>
      <c r="CX21" s="129"/>
      <c r="CY21" s="129"/>
      <c r="CZ21" s="129"/>
      <c r="DA21" s="129"/>
      <c r="DB21" s="129"/>
      <c r="DC21" s="129"/>
      <c r="DD21" s="129"/>
      <c r="DE21" s="129"/>
      <c r="DF21" s="129"/>
      <c r="DG21" s="129"/>
      <c r="DH21" s="129"/>
      <c r="DI21" s="129"/>
      <c r="DJ21" s="129"/>
      <c r="DK21" s="129"/>
      <c r="DL21" s="129"/>
      <c r="DM21" s="129"/>
      <c r="DN21" s="129"/>
      <c r="DO21" s="129"/>
      <c r="DP21" s="129"/>
      <c r="DQ21" s="129"/>
      <c r="DR21" s="129"/>
      <c r="DS21" s="129"/>
      <c r="DT21" s="129"/>
      <c r="DU21" s="129"/>
      <c r="DV21" s="129"/>
      <c r="DW21" s="129"/>
      <c r="DX21" s="129"/>
      <c r="DY21" s="129"/>
      <c r="DZ21" s="129"/>
      <c r="EA21" s="129"/>
      <c r="EB21" s="129"/>
      <c r="EC21" s="129"/>
      <c r="ED21" s="129"/>
      <c r="EE21" s="129"/>
      <c r="EF21" s="129"/>
      <c r="EG21" s="129"/>
      <c r="EH21" s="129"/>
      <c r="EI21" s="129"/>
      <c r="EJ21" s="129"/>
      <c r="EK21" s="129"/>
      <c r="EL21" s="129"/>
      <c r="EM21" s="129"/>
      <c r="EN21" s="129"/>
      <c r="EO21" s="129"/>
      <c r="EP21" s="129"/>
      <c r="EQ21" s="129"/>
      <c r="ER21" s="129"/>
      <c r="ES21" s="129"/>
      <c r="ET21" s="129"/>
      <c r="EU21" s="129"/>
      <c r="EV21" s="129"/>
      <c r="EW21" s="129"/>
      <c r="EX21" s="129"/>
      <c r="EY21" s="129"/>
      <c r="EZ21" s="129"/>
      <c r="FA21" s="129"/>
      <c r="FB21" s="129"/>
      <c r="FC21" s="129"/>
      <c r="FD21" s="129"/>
      <c r="FE21" s="129"/>
      <c r="FF21" s="129"/>
      <c r="FG21" s="129"/>
      <c r="FH21" s="129"/>
      <c r="FI21" s="129"/>
      <c r="FJ21" s="129"/>
      <c r="FK21" s="129"/>
      <c r="FL21" s="129"/>
      <c r="FM21" s="129"/>
      <c r="FN21" s="129"/>
      <c r="FO21" s="129"/>
      <c r="FP21" s="129"/>
      <c r="FQ21" s="129"/>
      <c r="FR21" s="129"/>
      <c r="FS21" s="129"/>
      <c r="FT21" s="129"/>
      <c r="FU21" s="129"/>
      <c r="FV21" s="129"/>
      <c r="FW21" s="129"/>
      <c r="FX21" s="129"/>
      <c r="FY21" s="129"/>
      <c r="FZ21" s="129"/>
      <c r="GA21" s="129"/>
      <c r="GB21" s="129"/>
      <c r="GC21" s="129"/>
      <c r="GD21" s="129"/>
      <c r="GE21" s="129"/>
      <c r="GF21" s="129"/>
      <c r="GG21" s="129"/>
      <c r="GH21" s="129"/>
      <c r="GI21" s="129"/>
      <c r="GJ21" s="129"/>
      <c r="GK21" s="129"/>
      <c r="GL21" s="129"/>
      <c r="GM21" s="129"/>
      <c r="GN21" s="129"/>
      <c r="GO21" s="129"/>
      <c r="GP21" s="129"/>
      <c r="GQ21" s="129"/>
      <c r="GR21" s="129"/>
      <c r="GS21" s="129"/>
      <c r="GT21" s="129"/>
      <c r="GU21" s="129"/>
      <c r="GV21" s="129"/>
      <c r="GW21" s="129"/>
      <c r="GX21" s="129"/>
      <c r="GY21" s="129"/>
      <c r="GZ21" s="129"/>
      <c r="HA21" s="129"/>
      <c r="HB21" s="129"/>
      <c r="HC21" s="129"/>
      <c r="HD21" s="129"/>
      <c r="HE21" s="129"/>
      <c r="HF21" s="129"/>
      <c r="HG21" s="129"/>
      <c r="HH21" s="129"/>
      <c r="HI21" s="129"/>
      <c r="HJ21" s="129"/>
      <c r="HK21" s="129"/>
      <c r="HL21" s="129"/>
      <c r="HM21" s="129"/>
      <c r="HN21" s="129"/>
      <c r="HO21" s="129"/>
      <c r="HP21" s="129"/>
      <c r="HQ21" s="129"/>
      <c r="HR21" s="129"/>
      <c r="HS21" s="129"/>
      <c r="HT21" s="129"/>
      <c r="HU21" s="129"/>
      <c r="HV21" s="129"/>
      <c r="HW21" s="129"/>
      <c r="HX21" s="129"/>
      <c r="HY21" s="129"/>
      <c r="HZ21" s="129"/>
      <c r="IA21" s="129"/>
      <c r="IB21" s="129"/>
      <c r="IC21" s="129"/>
      <c r="ID21" s="129"/>
      <c r="IE21" s="129"/>
      <c r="IF21" s="129"/>
      <c r="IG21" s="129"/>
      <c r="IH21" s="129"/>
      <c r="II21" s="129"/>
      <c r="IJ21" s="129"/>
      <c r="IK21" s="129"/>
      <c r="IL21" s="129"/>
      <c r="IM21" s="129"/>
      <c r="IN21" s="129"/>
      <c r="IO21" s="129"/>
      <c r="IP21" s="129"/>
      <c r="IQ21" s="129"/>
    </row>
    <row r="22" spans="1:251" s="207" customFormat="1" x14ac:dyDescent="0.25">
      <c r="A22" s="43"/>
      <c r="B22" s="201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 t="str">
        <f t="shared" si="1"/>
        <v/>
      </c>
      <c r="AI22" s="43" t="str">
        <f t="shared" si="2"/>
        <v/>
      </c>
      <c r="AJ22" s="43" t="str">
        <f t="shared" si="3"/>
        <v/>
      </c>
      <c r="AK22" s="43">
        <f t="shared" si="4"/>
        <v>0</v>
      </c>
      <c r="AL22" s="43" t="str">
        <f t="shared" si="5"/>
        <v/>
      </c>
      <c r="AM22" s="43" t="str">
        <f t="shared" si="6"/>
        <v/>
      </c>
      <c r="AN22" s="43"/>
      <c r="AO22" s="43" t="str">
        <f t="shared" si="7"/>
        <v/>
      </c>
      <c r="AP22" s="43" t="str">
        <f t="shared" si="8"/>
        <v/>
      </c>
      <c r="AQ22" s="43"/>
      <c r="AR22" s="43"/>
      <c r="AS22" s="43"/>
      <c r="AT22" s="43" t="str">
        <f t="shared" si="9"/>
        <v/>
      </c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>
        <f t="shared" si="10"/>
        <v>0</v>
      </c>
      <c r="BG22" s="263"/>
      <c r="BH22" s="263"/>
      <c r="BP22" s="129"/>
      <c r="BQ22" s="129"/>
      <c r="BR22" s="129"/>
      <c r="BS22" s="129"/>
      <c r="BT22" s="129"/>
      <c r="BU22" s="129"/>
      <c r="BV22" s="129"/>
      <c r="BW22" s="129"/>
      <c r="BX22" s="129"/>
      <c r="BY22" s="129"/>
      <c r="BZ22" s="129"/>
      <c r="CA22" s="129"/>
      <c r="CB22" s="129"/>
      <c r="CC22" s="129"/>
      <c r="CD22" s="129"/>
      <c r="CE22" s="129"/>
      <c r="CF22" s="129"/>
      <c r="CG22" s="129"/>
      <c r="CH22" s="129"/>
      <c r="CI22" s="129"/>
      <c r="CJ22" s="129"/>
      <c r="CK22" s="129"/>
      <c r="CL22" s="129"/>
      <c r="CM22" s="129"/>
      <c r="CN22" s="129"/>
      <c r="CO22" s="129"/>
      <c r="CP22" s="129"/>
      <c r="CQ22" s="129"/>
      <c r="CR22" s="129"/>
      <c r="CS22" s="129"/>
      <c r="CT22" s="129"/>
      <c r="CU22" s="129"/>
      <c r="CV22" s="129"/>
      <c r="CW22" s="129"/>
      <c r="CX22" s="129"/>
      <c r="CY22" s="129"/>
      <c r="CZ22" s="129"/>
      <c r="DA22" s="129"/>
      <c r="DB22" s="129"/>
      <c r="DC22" s="129"/>
      <c r="DD22" s="129"/>
      <c r="DE22" s="129"/>
      <c r="DF22" s="129"/>
      <c r="DG22" s="129"/>
      <c r="DH22" s="129"/>
      <c r="DI22" s="129"/>
      <c r="DJ22" s="129"/>
      <c r="DK22" s="129"/>
      <c r="DL22" s="129"/>
      <c r="DM22" s="129"/>
      <c r="DN22" s="129"/>
      <c r="DO22" s="129"/>
      <c r="DP22" s="129"/>
      <c r="DQ22" s="129"/>
      <c r="DR22" s="129"/>
      <c r="DS22" s="129"/>
      <c r="DT22" s="129"/>
      <c r="DU22" s="129"/>
      <c r="DV22" s="129"/>
      <c r="DW22" s="129"/>
      <c r="DX22" s="129"/>
      <c r="DY22" s="129"/>
      <c r="DZ22" s="129"/>
      <c r="EA22" s="129"/>
      <c r="EB22" s="129"/>
      <c r="EC22" s="129"/>
      <c r="ED22" s="129"/>
      <c r="EE22" s="129"/>
      <c r="EF22" s="129"/>
      <c r="EG22" s="129"/>
      <c r="EH22" s="129"/>
      <c r="EI22" s="129"/>
      <c r="EJ22" s="129"/>
      <c r="EK22" s="129"/>
      <c r="EL22" s="129"/>
      <c r="EM22" s="129"/>
      <c r="EN22" s="129"/>
      <c r="EO22" s="129"/>
      <c r="EP22" s="129"/>
      <c r="EQ22" s="129"/>
      <c r="ER22" s="129"/>
      <c r="ES22" s="129"/>
      <c r="ET22" s="129"/>
      <c r="EU22" s="129"/>
      <c r="EV22" s="129"/>
      <c r="EW22" s="129"/>
      <c r="EX22" s="129"/>
      <c r="EY22" s="129"/>
      <c r="EZ22" s="129"/>
      <c r="FA22" s="129"/>
      <c r="FB22" s="129"/>
      <c r="FC22" s="129"/>
      <c r="FD22" s="129"/>
      <c r="FE22" s="129"/>
      <c r="FF22" s="129"/>
      <c r="FG22" s="129"/>
      <c r="FH22" s="129"/>
      <c r="FI22" s="129"/>
      <c r="FJ22" s="129"/>
      <c r="FK22" s="129"/>
      <c r="FL22" s="129"/>
      <c r="FM22" s="129"/>
      <c r="FN22" s="129"/>
      <c r="FO22" s="129"/>
      <c r="FP22" s="129"/>
      <c r="FQ22" s="129"/>
      <c r="FR22" s="129"/>
      <c r="FS22" s="129"/>
      <c r="FT22" s="129"/>
      <c r="FU22" s="129"/>
      <c r="FV22" s="129"/>
      <c r="FW22" s="129"/>
      <c r="FX22" s="129"/>
      <c r="FY22" s="129"/>
      <c r="FZ22" s="129"/>
      <c r="GA22" s="129"/>
      <c r="GB22" s="129"/>
      <c r="GC22" s="129"/>
      <c r="GD22" s="129"/>
      <c r="GE22" s="129"/>
      <c r="GF22" s="129"/>
      <c r="GG22" s="129"/>
      <c r="GH22" s="129"/>
      <c r="GI22" s="129"/>
      <c r="GJ22" s="129"/>
      <c r="GK22" s="129"/>
      <c r="GL22" s="129"/>
      <c r="GM22" s="129"/>
      <c r="GN22" s="129"/>
      <c r="GO22" s="129"/>
      <c r="GP22" s="129"/>
      <c r="GQ22" s="129"/>
      <c r="GR22" s="129"/>
      <c r="GS22" s="129"/>
      <c r="GT22" s="129"/>
      <c r="GU22" s="129"/>
      <c r="GV22" s="129"/>
      <c r="GW22" s="129"/>
      <c r="GX22" s="129"/>
      <c r="GY22" s="129"/>
      <c r="GZ22" s="129"/>
      <c r="HA22" s="129"/>
      <c r="HB22" s="129"/>
      <c r="HC22" s="129"/>
      <c r="HD22" s="129"/>
      <c r="HE22" s="129"/>
      <c r="HF22" s="129"/>
      <c r="HG22" s="129"/>
      <c r="HH22" s="129"/>
      <c r="HI22" s="129"/>
      <c r="HJ22" s="129"/>
      <c r="HK22" s="129"/>
      <c r="HL22" s="129"/>
      <c r="HM22" s="129"/>
      <c r="HN22" s="129"/>
      <c r="HO22" s="129"/>
      <c r="HP22" s="129"/>
      <c r="HQ22" s="129"/>
      <c r="HR22" s="129"/>
      <c r="HS22" s="129"/>
      <c r="HT22" s="129"/>
      <c r="HU22" s="129"/>
      <c r="HV22" s="129"/>
      <c r="HW22" s="129"/>
      <c r="HX22" s="129"/>
      <c r="HY22" s="129"/>
      <c r="HZ22" s="129"/>
      <c r="IA22" s="129"/>
      <c r="IB22" s="129"/>
      <c r="IC22" s="129"/>
      <c r="ID22" s="129"/>
      <c r="IE22" s="129"/>
      <c r="IF22" s="129"/>
      <c r="IG22" s="129"/>
      <c r="IH22" s="129"/>
      <c r="II22" s="129"/>
      <c r="IJ22" s="129"/>
      <c r="IK22" s="129"/>
      <c r="IL22" s="129"/>
      <c r="IM22" s="129"/>
      <c r="IN22" s="129"/>
      <c r="IO22" s="129"/>
      <c r="IP22" s="129"/>
      <c r="IQ22" s="129"/>
    </row>
    <row r="23" spans="1:251" s="207" customFormat="1" x14ac:dyDescent="0.25">
      <c r="A23" s="43"/>
      <c r="B23" s="201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 t="str">
        <f t="shared" si="1"/>
        <v/>
      </c>
      <c r="AI23" s="43" t="str">
        <f t="shared" si="2"/>
        <v/>
      </c>
      <c r="AJ23" s="43" t="str">
        <f t="shared" si="3"/>
        <v/>
      </c>
      <c r="AK23" s="43">
        <f t="shared" si="4"/>
        <v>0</v>
      </c>
      <c r="AL23" s="43" t="str">
        <f t="shared" si="5"/>
        <v/>
      </c>
      <c r="AM23" s="43" t="str">
        <f t="shared" si="6"/>
        <v/>
      </c>
      <c r="AN23" s="43"/>
      <c r="AO23" s="43" t="str">
        <f t="shared" si="7"/>
        <v/>
      </c>
      <c r="AP23" s="43" t="str">
        <f t="shared" si="8"/>
        <v/>
      </c>
      <c r="AQ23" s="43"/>
      <c r="AR23" s="43"/>
      <c r="AS23" s="43"/>
      <c r="AT23" s="43" t="str">
        <f t="shared" si="9"/>
        <v/>
      </c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>
        <f t="shared" si="10"/>
        <v>0</v>
      </c>
      <c r="BG23" s="263"/>
      <c r="BH23" s="263"/>
      <c r="BP23" s="129"/>
      <c r="BQ23" s="129"/>
      <c r="BR23" s="129"/>
      <c r="BS23" s="129"/>
      <c r="BT23" s="129"/>
      <c r="BU23" s="129"/>
      <c r="BV23" s="129"/>
      <c r="BW23" s="129"/>
      <c r="BX23" s="129"/>
      <c r="BY23" s="129"/>
      <c r="BZ23" s="129"/>
      <c r="CA23" s="129"/>
      <c r="CB23" s="129"/>
      <c r="CC23" s="129"/>
      <c r="CD23" s="129"/>
      <c r="CE23" s="129"/>
      <c r="CF23" s="129"/>
      <c r="CG23" s="129"/>
      <c r="CH23" s="129"/>
      <c r="CI23" s="129"/>
      <c r="CJ23" s="129"/>
      <c r="CK23" s="129"/>
      <c r="CL23" s="129"/>
      <c r="CM23" s="129"/>
      <c r="CN23" s="129"/>
      <c r="CO23" s="129"/>
      <c r="CP23" s="129"/>
      <c r="CQ23" s="129"/>
      <c r="CR23" s="129"/>
      <c r="CS23" s="129"/>
      <c r="CT23" s="129"/>
      <c r="CU23" s="129"/>
      <c r="CV23" s="129"/>
      <c r="CW23" s="129"/>
      <c r="CX23" s="129"/>
      <c r="CY23" s="129"/>
      <c r="CZ23" s="129"/>
      <c r="DA23" s="129"/>
      <c r="DB23" s="129"/>
      <c r="DC23" s="129"/>
      <c r="DD23" s="129"/>
      <c r="DE23" s="129"/>
      <c r="DF23" s="129"/>
      <c r="DG23" s="129"/>
      <c r="DH23" s="129"/>
      <c r="DI23" s="129"/>
      <c r="DJ23" s="129"/>
      <c r="DK23" s="129"/>
      <c r="DL23" s="129"/>
      <c r="DM23" s="129"/>
      <c r="DN23" s="129"/>
      <c r="DO23" s="129"/>
      <c r="DP23" s="129"/>
      <c r="DQ23" s="129"/>
      <c r="DR23" s="129"/>
      <c r="DS23" s="129"/>
      <c r="DT23" s="129"/>
      <c r="DU23" s="129"/>
      <c r="DV23" s="129"/>
      <c r="DW23" s="129"/>
      <c r="DX23" s="129"/>
      <c r="DY23" s="129"/>
      <c r="DZ23" s="129"/>
      <c r="EA23" s="129"/>
      <c r="EB23" s="129"/>
      <c r="EC23" s="129"/>
      <c r="ED23" s="129"/>
      <c r="EE23" s="129"/>
      <c r="EF23" s="129"/>
      <c r="EG23" s="129"/>
      <c r="EH23" s="129"/>
      <c r="EI23" s="129"/>
      <c r="EJ23" s="129"/>
      <c r="EK23" s="129"/>
      <c r="EL23" s="129"/>
      <c r="EM23" s="129"/>
      <c r="EN23" s="129"/>
      <c r="EO23" s="129"/>
      <c r="EP23" s="129"/>
      <c r="EQ23" s="129"/>
      <c r="ER23" s="129"/>
      <c r="ES23" s="129"/>
      <c r="ET23" s="129"/>
      <c r="EU23" s="129"/>
      <c r="EV23" s="129"/>
      <c r="EW23" s="129"/>
      <c r="EX23" s="129"/>
      <c r="EY23" s="129"/>
      <c r="EZ23" s="129"/>
      <c r="FA23" s="129"/>
      <c r="FB23" s="129"/>
      <c r="FC23" s="129"/>
      <c r="FD23" s="129"/>
      <c r="FE23" s="129"/>
      <c r="FF23" s="129"/>
      <c r="FG23" s="129"/>
      <c r="FH23" s="129"/>
      <c r="FI23" s="129"/>
      <c r="FJ23" s="129"/>
      <c r="FK23" s="129"/>
      <c r="FL23" s="129"/>
      <c r="FM23" s="129"/>
      <c r="FN23" s="129"/>
      <c r="FO23" s="129"/>
      <c r="FP23" s="129"/>
      <c r="FQ23" s="129"/>
      <c r="FR23" s="129"/>
      <c r="FS23" s="129"/>
      <c r="FT23" s="129"/>
      <c r="FU23" s="129"/>
      <c r="FV23" s="129"/>
      <c r="FW23" s="129"/>
      <c r="FX23" s="129"/>
      <c r="FY23" s="129"/>
      <c r="FZ23" s="129"/>
      <c r="GA23" s="129"/>
      <c r="GB23" s="129"/>
      <c r="GC23" s="129"/>
      <c r="GD23" s="129"/>
      <c r="GE23" s="129"/>
      <c r="GF23" s="129"/>
      <c r="GG23" s="129"/>
      <c r="GH23" s="129"/>
      <c r="GI23" s="129"/>
      <c r="GJ23" s="129"/>
      <c r="GK23" s="129"/>
      <c r="GL23" s="129"/>
      <c r="GM23" s="129"/>
      <c r="GN23" s="129"/>
      <c r="GO23" s="129"/>
      <c r="GP23" s="129"/>
      <c r="GQ23" s="129"/>
      <c r="GR23" s="129"/>
      <c r="GS23" s="129"/>
      <c r="GT23" s="129"/>
      <c r="GU23" s="129"/>
      <c r="GV23" s="129"/>
      <c r="GW23" s="129"/>
      <c r="GX23" s="129"/>
      <c r="GY23" s="129"/>
      <c r="GZ23" s="129"/>
      <c r="HA23" s="129"/>
      <c r="HB23" s="129"/>
      <c r="HC23" s="129"/>
      <c r="HD23" s="129"/>
      <c r="HE23" s="129"/>
      <c r="HF23" s="129"/>
      <c r="HG23" s="129"/>
      <c r="HH23" s="129"/>
      <c r="HI23" s="129"/>
      <c r="HJ23" s="129"/>
      <c r="HK23" s="129"/>
      <c r="HL23" s="129"/>
      <c r="HM23" s="129"/>
      <c r="HN23" s="129"/>
      <c r="HO23" s="129"/>
      <c r="HP23" s="129"/>
      <c r="HQ23" s="129"/>
      <c r="HR23" s="129"/>
      <c r="HS23" s="129"/>
      <c r="HT23" s="129"/>
      <c r="HU23" s="129"/>
      <c r="HV23" s="129"/>
      <c r="HW23" s="129"/>
      <c r="HX23" s="129"/>
      <c r="HY23" s="129"/>
      <c r="HZ23" s="129"/>
      <c r="IA23" s="129"/>
      <c r="IB23" s="129"/>
      <c r="IC23" s="129"/>
      <c r="ID23" s="129"/>
      <c r="IE23" s="129"/>
      <c r="IF23" s="129"/>
      <c r="IG23" s="129"/>
      <c r="IH23" s="129"/>
      <c r="II23" s="129"/>
      <c r="IJ23" s="129"/>
      <c r="IK23" s="129"/>
      <c r="IL23" s="129"/>
      <c r="IM23" s="129"/>
      <c r="IN23" s="129"/>
      <c r="IO23" s="129"/>
      <c r="IP23" s="129"/>
      <c r="IQ23" s="129"/>
    </row>
    <row r="24" spans="1:251" s="207" customFormat="1" x14ac:dyDescent="0.25">
      <c r="A24" s="43"/>
      <c r="B24" s="201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 t="str">
        <f t="shared" si="1"/>
        <v/>
      </c>
      <c r="AI24" s="43" t="str">
        <f t="shared" si="2"/>
        <v/>
      </c>
      <c r="AJ24" s="43" t="str">
        <f t="shared" si="3"/>
        <v/>
      </c>
      <c r="AK24" s="43">
        <f t="shared" si="4"/>
        <v>0</v>
      </c>
      <c r="AL24" s="43" t="str">
        <f t="shared" si="5"/>
        <v/>
      </c>
      <c r="AM24" s="43" t="str">
        <f t="shared" si="6"/>
        <v/>
      </c>
      <c r="AN24" s="43"/>
      <c r="AO24" s="43" t="str">
        <f t="shared" si="7"/>
        <v/>
      </c>
      <c r="AP24" s="43" t="str">
        <f t="shared" si="8"/>
        <v/>
      </c>
      <c r="AQ24" s="43"/>
      <c r="AR24" s="43"/>
      <c r="AS24" s="43"/>
      <c r="AT24" s="43" t="str">
        <f t="shared" si="9"/>
        <v/>
      </c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>
        <f t="shared" si="10"/>
        <v>0</v>
      </c>
      <c r="BG24" s="263"/>
      <c r="BH24" s="263"/>
      <c r="BK24" s="253"/>
      <c r="BL24" s="253"/>
      <c r="BM24" s="253"/>
      <c r="BN24" s="253"/>
      <c r="BO24" s="253"/>
      <c r="FN24" s="129"/>
      <c r="FO24" s="129"/>
      <c r="FP24" s="129"/>
      <c r="FQ24" s="129"/>
      <c r="FR24" s="129"/>
      <c r="FS24" s="129"/>
      <c r="FT24" s="129"/>
      <c r="FU24" s="129"/>
      <c r="FV24" s="129"/>
      <c r="FW24" s="129"/>
      <c r="FX24" s="129"/>
      <c r="FY24" s="129"/>
      <c r="FZ24" s="129"/>
      <c r="GA24" s="129"/>
      <c r="GB24" s="129"/>
      <c r="GC24" s="129"/>
      <c r="GD24" s="129"/>
      <c r="GE24" s="129"/>
      <c r="GF24" s="129"/>
      <c r="GG24" s="129"/>
      <c r="GH24" s="129"/>
      <c r="GI24" s="129"/>
      <c r="GJ24" s="129"/>
      <c r="GK24" s="129"/>
      <c r="GL24" s="129"/>
      <c r="GM24" s="129"/>
      <c r="GN24" s="129"/>
      <c r="GO24" s="129"/>
      <c r="GP24" s="129"/>
      <c r="GQ24" s="129"/>
      <c r="GR24" s="129"/>
      <c r="GS24" s="129"/>
      <c r="GT24" s="129"/>
      <c r="GU24" s="129"/>
      <c r="GV24" s="129"/>
      <c r="GW24" s="129"/>
      <c r="GX24" s="129"/>
      <c r="GY24" s="129"/>
      <c r="GZ24" s="129"/>
      <c r="HA24" s="129"/>
      <c r="HB24" s="129"/>
      <c r="HC24" s="129"/>
      <c r="HD24" s="129"/>
      <c r="HE24" s="129"/>
      <c r="HF24" s="129"/>
      <c r="HG24" s="129"/>
      <c r="HH24" s="129"/>
      <c r="HI24" s="129"/>
      <c r="HJ24" s="129"/>
      <c r="HK24" s="129"/>
      <c r="HL24" s="129"/>
      <c r="HM24" s="129"/>
      <c r="HN24" s="129"/>
      <c r="HO24" s="129"/>
      <c r="HP24" s="129"/>
      <c r="HQ24" s="129"/>
      <c r="HR24" s="129"/>
      <c r="HS24" s="129"/>
      <c r="HT24" s="129"/>
      <c r="HU24" s="129"/>
      <c r="HV24" s="129"/>
      <c r="HW24" s="129"/>
      <c r="HX24" s="129"/>
      <c r="HY24" s="129"/>
      <c r="HZ24" s="129"/>
      <c r="IA24" s="129"/>
      <c r="IB24" s="129"/>
      <c r="IC24" s="129"/>
      <c r="ID24" s="129"/>
      <c r="IE24" s="129"/>
      <c r="IF24" s="129"/>
      <c r="IG24" s="129"/>
      <c r="IH24" s="129"/>
      <c r="II24" s="129"/>
      <c r="IJ24" s="129"/>
      <c r="IK24" s="129"/>
      <c r="IL24" s="129"/>
      <c r="IM24" s="129"/>
      <c r="IN24" s="129"/>
      <c r="IO24" s="129"/>
      <c r="IP24" s="129"/>
      <c r="IQ24" s="129"/>
    </row>
    <row r="25" spans="1:251" s="207" customFormat="1" x14ac:dyDescent="0.25">
      <c r="A25" s="43"/>
      <c r="B25" s="201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 t="str">
        <f t="shared" si="1"/>
        <v/>
      </c>
      <c r="AI25" s="43" t="str">
        <f t="shared" si="2"/>
        <v/>
      </c>
      <c r="AJ25" s="43" t="str">
        <f t="shared" si="3"/>
        <v/>
      </c>
      <c r="AK25" s="43">
        <f t="shared" si="4"/>
        <v>0</v>
      </c>
      <c r="AL25" s="43" t="str">
        <f t="shared" si="5"/>
        <v/>
      </c>
      <c r="AM25" s="43" t="str">
        <f t="shared" si="6"/>
        <v/>
      </c>
      <c r="AN25" s="43"/>
      <c r="AO25" s="43" t="str">
        <f t="shared" si="7"/>
        <v/>
      </c>
      <c r="AP25" s="43" t="str">
        <f t="shared" si="8"/>
        <v/>
      </c>
      <c r="AQ25" s="43"/>
      <c r="AR25" s="43"/>
      <c r="AS25" s="43"/>
      <c r="AT25" s="43" t="str">
        <f t="shared" si="9"/>
        <v/>
      </c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>
        <f t="shared" si="10"/>
        <v>0</v>
      </c>
      <c r="BG25" s="263"/>
      <c r="BH25" s="263"/>
      <c r="BK25" s="129"/>
      <c r="BL25" s="129"/>
      <c r="BM25" s="129"/>
      <c r="BN25" s="129"/>
      <c r="BO25" s="129"/>
      <c r="FN25" s="129"/>
      <c r="FO25" s="129"/>
      <c r="FP25" s="129"/>
      <c r="FQ25" s="129"/>
      <c r="FR25" s="129"/>
      <c r="FS25" s="129"/>
      <c r="FT25" s="129"/>
      <c r="FU25" s="129"/>
      <c r="FV25" s="129"/>
      <c r="FW25" s="129"/>
      <c r="FX25" s="129"/>
      <c r="FY25" s="129"/>
      <c r="FZ25" s="129"/>
      <c r="GA25" s="129"/>
      <c r="GB25" s="129"/>
      <c r="GC25" s="129"/>
      <c r="GD25" s="129"/>
      <c r="GE25" s="129"/>
      <c r="GF25" s="129"/>
      <c r="GG25" s="129"/>
      <c r="GH25" s="129"/>
      <c r="GI25" s="129"/>
      <c r="GJ25" s="129"/>
      <c r="GK25" s="129"/>
      <c r="GL25" s="129"/>
      <c r="GM25" s="129"/>
      <c r="GN25" s="129"/>
      <c r="GO25" s="129"/>
      <c r="GP25" s="129"/>
      <c r="GQ25" s="129"/>
      <c r="GR25" s="129"/>
      <c r="GS25" s="129"/>
      <c r="GT25" s="129"/>
      <c r="GU25" s="129"/>
      <c r="GV25" s="129"/>
      <c r="GW25" s="129"/>
      <c r="GX25" s="129"/>
      <c r="GY25" s="129"/>
      <c r="GZ25" s="129"/>
      <c r="HA25" s="129"/>
      <c r="HB25" s="129"/>
      <c r="HC25" s="129"/>
      <c r="HD25" s="129"/>
      <c r="HE25" s="129"/>
      <c r="HF25" s="129"/>
      <c r="HG25" s="129"/>
      <c r="HH25" s="129"/>
      <c r="HI25" s="129"/>
      <c r="HJ25" s="129"/>
      <c r="HK25" s="129"/>
      <c r="HL25" s="129"/>
      <c r="HM25" s="129"/>
      <c r="HN25" s="129"/>
      <c r="HO25" s="129"/>
      <c r="HP25" s="129"/>
      <c r="HQ25" s="129"/>
      <c r="HR25" s="129"/>
      <c r="HS25" s="129"/>
      <c r="HT25" s="129"/>
      <c r="HU25" s="129"/>
      <c r="HV25" s="129"/>
      <c r="HW25" s="129"/>
      <c r="HX25" s="129"/>
      <c r="HY25" s="129"/>
      <c r="HZ25" s="129"/>
      <c r="IA25" s="129"/>
      <c r="IB25" s="129"/>
      <c r="IC25" s="129"/>
      <c r="ID25" s="129"/>
      <c r="IE25" s="129"/>
      <c r="IF25" s="129"/>
      <c r="IG25" s="129"/>
      <c r="IH25" s="129"/>
      <c r="II25" s="129"/>
      <c r="IJ25" s="129"/>
      <c r="IK25" s="129"/>
      <c r="IL25" s="129"/>
      <c r="IM25" s="129"/>
      <c r="IN25" s="129"/>
      <c r="IO25" s="129"/>
      <c r="IP25" s="129"/>
      <c r="IQ25" s="129"/>
    </row>
    <row r="26" spans="1:251" s="207" customFormat="1" x14ac:dyDescent="0.25">
      <c r="A26" s="43"/>
      <c r="B26" s="201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 t="str">
        <f t="shared" si="1"/>
        <v/>
      </c>
      <c r="AI26" s="43" t="str">
        <f t="shared" si="2"/>
        <v/>
      </c>
      <c r="AJ26" s="43" t="str">
        <f t="shared" si="3"/>
        <v/>
      </c>
      <c r="AK26" s="43">
        <f t="shared" si="4"/>
        <v>0</v>
      </c>
      <c r="AL26" s="43" t="str">
        <f t="shared" si="5"/>
        <v/>
      </c>
      <c r="AM26" s="43" t="str">
        <f t="shared" si="6"/>
        <v/>
      </c>
      <c r="AN26" s="43"/>
      <c r="AO26" s="43" t="str">
        <f t="shared" si="7"/>
        <v/>
      </c>
      <c r="AP26" s="43" t="str">
        <f t="shared" si="8"/>
        <v/>
      </c>
      <c r="AQ26" s="43"/>
      <c r="AR26" s="43"/>
      <c r="AS26" s="43"/>
      <c r="AT26" s="43" t="str">
        <f t="shared" si="9"/>
        <v/>
      </c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>
        <f t="shared" si="10"/>
        <v>0</v>
      </c>
      <c r="BG26" s="263"/>
      <c r="BH26" s="263"/>
      <c r="BP26" s="129"/>
      <c r="BQ26" s="129"/>
      <c r="BR26" s="129"/>
      <c r="BS26" s="129"/>
      <c r="BT26" s="129"/>
      <c r="BU26" s="129"/>
      <c r="BV26" s="129"/>
      <c r="BW26" s="129"/>
      <c r="BX26" s="129"/>
      <c r="BY26" s="129"/>
      <c r="BZ26" s="129"/>
      <c r="CA26" s="129"/>
      <c r="CB26" s="129"/>
      <c r="CC26" s="129"/>
      <c r="CD26" s="129"/>
      <c r="CE26" s="129"/>
      <c r="CF26" s="129"/>
      <c r="CG26" s="129"/>
      <c r="CH26" s="129"/>
      <c r="CI26" s="129"/>
      <c r="CJ26" s="129"/>
      <c r="CK26" s="129"/>
      <c r="CL26" s="129"/>
      <c r="CM26" s="129"/>
      <c r="CN26" s="129"/>
      <c r="CO26" s="129"/>
      <c r="CP26" s="129"/>
      <c r="CQ26" s="129"/>
      <c r="CR26" s="129"/>
      <c r="CS26" s="129"/>
      <c r="CT26" s="129"/>
      <c r="CU26" s="129"/>
      <c r="CV26" s="129"/>
      <c r="CW26" s="129"/>
      <c r="CX26" s="129"/>
      <c r="CY26" s="129"/>
      <c r="CZ26" s="129"/>
      <c r="DA26" s="129"/>
      <c r="DB26" s="129"/>
      <c r="DC26" s="129"/>
      <c r="DD26" s="129"/>
      <c r="DE26" s="129"/>
      <c r="DF26" s="129"/>
      <c r="DG26" s="129"/>
      <c r="DH26" s="129"/>
      <c r="DI26" s="129"/>
      <c r="DJ26" s="129"/>
      <c r="DK26" s="129"/>
      <c r="DL26" s="129"/>
      <c r="DM26" s="129"/>
      <c r="DN26" s="129"/>
      <c r="DO26" s="129"/>
      <c r="DP26" s="129"/>
      <c r="DQ26" s="129"/>
      <c r="DR26" s="129"/>
      <c r="DS26" s="129"/>
      <c r="DT26" s="129"/>
      <c r="DU26" s="129"/>
      <c r="DV26" s="129"/>
      <c r="DW26" s="129"/>
      <c r="DX26" s="129"/>
      <c r="DY26" s="129"/>
      <c r="DZ26" s="129"/>
      <c r="EA26" s="129"/>
      <c r="EB26" s="129"/>
      <c r="EC26" s="129"/>
      <c r="ED26" s="129"/>
      <c r="EE26" s="129"/>
      <c r="EF26" s="129"/>
      <c r="EG26" s="129"/>
      <c r="EH26" s="129"/>
      <c r="EI26" s="129"/>
      <c r="EJ26" s="129"/>
      <c r="EK26" s="129"/>
      <c r="EL26" s="129"/>
      <c r="EM26" s="129"/>
      <c r="EN26" s="129"/>
      <c r="EO26" s="129"/>
      <c r="EP26" s="129"/>
      <c r="EQ26" s="129"/>
      <c r="ER26" s="129"/>
      <c r="ES26" s="129"/>
      <c r="ET26" s="129"/>
      <c r="EU26" s="129"/>
      <c r="EV26" s="129"/>
      <c r="EW26" s="129"/>
      <c r="EX26" s="129"/>
      <c r="EY26" s="129"/>
      <c r="EZ26" s="129"/>
      <c r="FA26" s="129"/>
      <c r="FB26" s="129"/>
      <c r="FC26" s="129"/>
      <c r="FD26" s="129"/>
      <c r="FE26" s="129"/>
      <c r="FF26" s="129"/>
      <c r="FG26" s="129"/>
      <c r="FH26" s="129"/>
      <c r="FI26" s="129"/>
      <c r="FJ26" s="129"/>
      <c r="FK26" s="129"/>
      <c r="FL26" s="129"/>
      <c r="FM26" s="129"/>
      <c r="FN26" s="129"/>
      <c r="FO26" s="129"/>
      <c r="FP26" s="129"/>
      <c r="FQ26" s="129"/>
      <c r="FR26" s="129"/>
      <c r="FS26" s="129"/>
      <c r="FT26" s="129"/>
      <c r="FU26" s="129"/>
      <c r="FV26" s="129"/>
      <c r="FW26" s="129"/>
      <c r="FX26" s="129"/>
      <c r="FY26" s="129"/>
      <c r="FZ26" s="129"/>
      <c r="GA26" s="129"/>
      <c r="GB26" s="129"/>
      <c r="GC26" s="129"/>
      <c r="GD26" s="129"/>
      <c r="GE26" s="129"/>
      <c r="GF26" s="129"/>
      <c r="GG26" s="129"/>
      <c r="GH26" s="129"/>
      <c r="GI26" s="129"/>
      <c r="GJ26" s="129"/>
      <c r="GK26" s="129"/>
      <c r="GL26" s="129"/>
      <c r="GM26" s="129"/>
      <c r="GN26" s="129"/>
      <c r="GO26" s="129"/>
      <c r="GP26" s="129"/>
      <c r="GQ26" s="129"/>
      <c r="GR26" s="129"/>
      <c r="GS26" s="129"/>
      <c r="GT26" s="129"/>
      <c r="GU26" s="129"/>
      <c r="GV26" s="129"/>
      <c r="GW26" s="129"/>
      <c r="GX26" s="129"/>
      <c r="GY26" s="129"/>
      <c r="GZ26" s="129"/>
      <c r="HA26" s="129"/>
      <c r="HB26" s="129"/>
      <c r="HC26" s="129"/>
      <c r="HD26" s="129"/>
      <c r="HE26" s="129"/>
      <c r="HF26" s="129"/>
      <c r="HG26" s="129"/>
      <c r="HH26" s="129"/>
      <c r="HI26" s="129"/>
      <c r="HJ26" s="129"/>
      <c r="HK26" s="129"/>
      <c r="HL26" s="129"/>
      <c r="HM26" s="129"/>
      <c r="HN26" s="129"/>
      <c r="HO26" s="129"/>
      <c r="HP26" s="129"/>
      <c r="HQ26" s="129"/>
      <c r="HR26" s="129"/>
      <c r="HS26" s="129"/>
      <c r="HT26" s="129"/>
      <c r="HU26" s="129"/>
      <c r="HV26" s="129"/>
      <c r="HW26" s="129"/>
      <c r="HX26" s="129"/>
      <c r="HY26" s="129"/>
      <c r="HZ26" s="129"/>
      <c r="IA26" s="129"/>
      <c r="IB26" s="129"/>
      <c r="IC26" s="129"/>
      <c r="ID26" s="129"/>
      <c r="IE26" s="129"/>
      <c r="IF26" s="129"/>
      <c r="IG26" s="129"/>
      <c r="IH26" s="129"/>
      <c r="II26" s="129"/>
      <c r="IJ26" s="129"/>
      <c r="IK26" s="129"/>
      <c r="IL26" s="129"/>
      <c r="IM26" s="129"/>
      <c r="IN26" s="129"/>
      <c r="IO26" s="129"/>
      <c r="IP26" s="129"/>
      <c r="IQ26" s="129"/>
    </row>
    <row r="27" spans="1:251" s="207" customFormat="1" x14ac:dyDescent="0.25">
      <c r="A27" s="43"/>
      <c r="B27" s="201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 t="str">
        <f t="shared" si="1"/>
        <v/>
      </c>
      <c r="AI27" s="43" t="str">
        <f t="shared" si="2"/>
        <v/>
      </c>
      <c r="AJ27" s="43" t="str">
        <f t="shared" si="3"/>
        <v/>
      </c>
      <c r="AK27" s="43">
        <f t="shared" si="4"/>
        <v>0</v>
      </c>
      <c r="AL27" s="43" t="str">
        <f t="shared" si="5"/>
        <v/>
      </c>
      <c r="AM27" s="43" t="str">
        <f t="shared" si="6"/>
        <v/>
      </c>
      <c r="AN27" s="43"/>
      <c r="AO27" s="43" t="str">
        <f t="shared" si="7"/>
        <v/>
      </c>
      <c r="AP27" s="43" t="str">
        <f t="shared" si="8"/>
        <v/>
      </c>
      <c r="AQ27" s="43"/>
      <c r="AR27" s="43"/>
      <c r="AS27" s="43"/>
      <c r="AT27" s="43" t="str">
        <f t="shared" si="9"/>
        <v/>
      </c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>
        <f t="shared" si="10"/>
        <v>0</v>
      </c>
      <c r="BG27" s="263"/>
      <c r="BH27" s="263"/>
      <c r="FN27" s="129"/>
      <c r="FO27" s="129"/>
      <c r="FP27" s="129"/>
      <c r="FQ27" s="129"/>
      <c r="FR27" s="129"/>
      <c r="FS27" s="129"/>
      <c r="FT27" s="129"/>
      <c r="FU27" s="129"/>
      <c r="FV27" s="129"/>
      <c r="FW27" s="129"/>
      <c r="FX27" s="129"/>
      <c r="FY27" s="129"/>
      <c r="FZ27" s="129"/>
      <c r="GA27" s="129"/>
      <c r="GB27" s="129"/>
      <c r="GC27" s="129"/>
      <c r="GD27" s="129"/>
      <c r="GE27" s="129"/>
      <c r="GF27" s="129"/>
      <c r="GG27" s="129"/>
      <c r="GH27" s="129"/>
      <c r="GI27" s="129"/>
      <c r="GJ27" s="129"/>
      <c r="GK27" s="129"/>
      <c r="GL27" s="129"/>
      <c r="GM27" s="129"/>
      <c r="GN27" s="129"/>
      <c r="GO27" s="129"/>
      <c r="GP27" s="129"/>
      <c r="GQ27" s="129"/>
      <c r="GR27" s="129"/>
      <c r="GS27" s="129"/>
      <c r="GT27" s="129"/>
      <c r="GU27" s="129"/>
      <c r="GV27" s="129"/>
      <c r="GW27" s="129"/>
      <c r="GX27" s="129"/>
      <c r="GY27" s="129"/>
      <c r="GZ27" s="129"/>
      <c r="HA27" s="129"/>
      <c r="HB27" s="129"/>
      <c r="HC27" s="129"/>
      <c r="HD27" s="129"/>
      <c r="HE27" s="129"/>
      <c r="HF27" s="129"/>
      <c r="HG27" s="129"/>
      <c r="HH27" s="129"/>
      <c r="HI27" s="129"/>
      <c r="HJ27" s="129"/>
      <c r="HK27" s="129"/>
      <c r="HL27" s="129"/>
      <c r="HM27" s="129"/>
      <c r="HN27" s="129"/>
      <c r="HO27" s="129"/>
      <c r="HP27" s="129"/>
      <c r="HQ27" s="129"/>
      <c r="HR27" s="129"/>
      <c r="HS27" s="129"/>
      <c r="HT27" s="129"/>
      <c r="HU27" s="129"/>
      <c r="HV27" s="129"/>
      <c r="HW27" s="129"/>
      <c r="HX27" s="129"/>
      <c r="HY27" s="129"/>
      <c r="HZ27" s="129"/>
      <c r="IA27" s="129"/>
      <c r="IB27" s="129"/>
      <c r="IC27" s="129"/>
      <c r="ID27" s="129"/>
      <c r="IE27" s="129"/>
      <c r="IF27" s="129"/>
      <c r="IG27" s="129"/>
      <c r="IH27" s="129"/>
      <c r="II27" s="129"/>
      <c r="IJ27" s="129"/>
      <c r="IK27" s="129"/>
      <c r="IL27" s="129"/>
      <c r="IM27" s="129"/>
      <c r="IN27" s="129"/>
      <c r="IO27" s="129"/>
      <c r="IP27" s="129"/>
      <c r="IQ27" s="129"/>
    </row>
    <row r="28" spans="1:251" s="207" customFormat="1" x14ac:dyDescent="0.25">
      <c r="A28" s="43"/>
      <c r="B28" s="201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 t="str">
        <f t="shared" si="1"/>
        <v/>
      </c>
      <c r="AI28" s="43" t="str">
        <f t="shared" si="2"/>
        <v/>
      </c>
      <c r="AJ28" s="43" t="str">
        <f t="shared" si="3"/>
        <v/>
      </c>
      <c r="AK28" s="43">
        <f t="shared" si="4"/>
        <v>0</v>
      </c>
      <c r="AL28" s="43" t="str">
        <f t="shared" si="5"/>
        <v/>
      </c>
      <c r="AM28" s="43" t="str">
        <f t="shared" si="6"/>
        <v/>
      </c>
      <c r="AN28" s="43"/>
      <c r="AO28" s="43" t="str">
        <f t="shared" si="7"/>
        <v/>
      </c>
      <c r="AP28" s="43" t="str">
        <f t="shared" si="8"/>
        <v/>
      </c>
      <c r="AQ28" s="43"/>
      <c r="AR28" s="43"/>
      <c r="AS28" s="43"/>
      <c r="AT28" s="43" t="str">
        <f t="shared" si="9"/>
        <v/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>
        <f t="shared" si="10"/>
        <v>0</v>
      </c>
      <c r="BI28" s="129"/>
      <c r="BJ28" s="253"/>
    </row>
    <row r="29" spans="1:251" s="207" customFormat="1" x14ac:dyDescent="0.25">
      <c r="A29" s="43"/>
      <c r="B29" s="201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 t="str">
        <f t="shared" si="1"/>
        <v/>
      </c>
      <c r="AI29" s="43" t="str">
        <f t="shared" si="2"/>
        <v/>
      </c>
      <c r="AJ29" s="43" t="str">
        <f t="shared" si="3"/>
        <v/>
      </c>
      <c r="AK29" s="43">
        <f t="shared" si="4"/>
        <v>0</v>
      </c>
      <c r="AL29" s="43" t="str">
        <f t="shared" si="5"/>
        <v/>
      </c>
      <c r="AM29" s="43" t="str">
        <f t="shared" si="6"/>
        <v/>
      </c>
      <c r="AN29" s="43"/>
      <c r="AO29" s="43" t="str">
        <f t="shared" si="7"/>
        <v/>
      </c>
      <c r="AP29" s="43" t="str">
        <f t="shared" si="8"/>
        <v/>
      </c>
      <c r="AQ29" s="43"/>
      <c r="AR29" s="43"/>
      <c r="AS29" s="43"/>
      <c r="AT29" s="43" t="str">
        <f t="shared" si="9"/>
        <v/>
      </c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>
        <f t="shared" si="10"/>
        <v>0</v>
      </c>
      <c r="BI29" s="129"/>
      <c r="BJ29" s="253"/>
    </row>
    <row r="30" spans="1:251" s="207" customFormat="1" x14ac:dyDescent="0.25">
      <c r="A30" s="43"/>
      <c r="B30" s="201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 t="str">
        <f t="shared" si="1"/>
        <v/>
      </c>
      <c r="AI30" s="43" t="str">
        <f t="shared" si="2"/>
        <v/>
      </c>
      <c r="AJ30" s="43" t="str">
        <f t="shared" si="3"/>
        <v/>
      </c>
      <c r="AK30" s="43">
        <f t="shared" si="4"/>
        <v>0</v>
      </c>
      <c r="AL30" s="43" t="str">
        <f t="shared" si="5"/>
        <v/>
      </c>
      <c r="AM30" s="43" t="str">
        <f t="shared" si="6"/>
        <v/>
      </c>
      <c r="AN30" s="43"/>
      <c r="AO30" s="43" t="str">
        <f t="shared" si="7"/>
        <v/>
      </c>
      <c r="AP30" s="43" t="str">
        <f t="shared" si="8"/>
        <v/>
      </c>
      <c r="AQ30" s="43"/>
      <c r="AR30" s="43"/>
      <c r="AS30" s="43"/>
      <c r="AT30" s="43" t="str">
        <f t="shared" si="9"/>
        <v/>
      </c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>
        <f t="shared" si="10"/>
        <v>0</v>
      </c>
      <c r="BI30" s="129"/>
      <c r="BJ30" s="253"/>
    </row>
    <row r="31" spans="1:251" s="207" customFormat="1" x14ac:dyDescent="0.25">
      <c r="A31" s="43"/>
      <c r="B31" s="201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 t="str">
        <f t="shared" si="1"/>
        <v/>
      </c>
      <c r="AI31" s="43" t="str">
        <f t="shared" si="2"/>
        <v/>
      </c>
      <c r="AJ31" s="43" t="str">
        <f t="shared" si="3"/>
        <v/>
      </c>
      <c r="AK31" s="43">
        <f t="shared" si="4"/>
        <v>0</v>
      </c>
      <c r="AL31" s="43" t="str">
        <f t="shared" si="5"/>
        <v/>
      </c>
      <c r="AM31" s="43" t="str">
        <f t="shared" si="6"/>
        <v/>
      </c>
      <c r="AN31" s="43"/>
      <c r="AO31" s="43" t="str">
        <f t="shared" si="7"/>
        <v/>
      </c>
      <c r="AP31" s="43" t="str">
        <f t="shared" si="8"/>
        <v/>
      </c>
      <c r="AQ31" s="43"/>
      <c r="AR31" s="43"/>
      <c r="AS31" s="43"/>
      <c r="AT31" s="43" t="str">
        <f t="shared" si="9"/>
        <v/>
      </c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>
        <f t="shared" si="10"/>
        <v>0</v>
      </c>
      <c r="BI31" s="129"/>
      <c r="BJ31" s="253"/>
    </row>
    <row r="32" spans="1:251" s="207" customFormat="1" x14ac:dyDescent="0.25">
      <c r="A32" s="43"/>
      <c r="B32" s="201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 t="str">
        <f t="shared" si="1"/>
        <v/>
      </c>
      <c r="AI32" s="43" t="str">
        <f t="shared" si="2"/>
        <v/>
      </c>
      <c r="AJ32" s="43" t="str">
        <f t="shared" si="3"/>
        <v/>
      </c>
      <c r="AK32" s="43">
        <f t="shared" si="4"/>
        <v>0</v>
      </c>
      <c r="AL32" s="43" t="str">
        <f t="shared" si="5"/>
        <v/>
      </c>
      <c r="AM32" s="43" t="str">
        <f t="shared" si="6"/>
        <v/>
      </c>
      <c r="AN32" s="43"/>
      <c r="AO32" s="43" t="str">
        <f t="shared" si="7"/>
        <v/>
      </c>
      <c r="AP32" s="43" t="str">
        <f t="shared" si="8"/>
        <v/>
      </c>
      <c r="AQ32" s="43"/>
      <c r="AR32" s="43"/>
      <c r="AS32" s="43"/>
      <c r="AT32" s="43" t="str">
        <f t="shared" si="9"/>
        <v/>
      </c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>
        <f t="shared" si="10"/>
        <v>0</v>
      </c>
      <c r="BI32" s="129"/>
      <c r="BJ32" s="253"/>
    </row>
    <row r="33" spans="1:169" s="207" customFormat="1" x14ac:dyDescent="0.25">
      <c r="A33" s="43"/>
      <c r="B33" s="201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 t="str">
        <f t="shared" si="1"/>
        <v/>
      </c>
      <c r="AI33" s="43" t="str">
        <f t="shared" si="2"/>
        <v/>
      </c>
      <c r="AJ33" s="43" t="str">
        <f t="shared" si="3"/>
        <v/>
      </c>
      <c r="AK33" s="43">
        <f t="shared" si="4"/>
        <v>0</v>
      </c>
      <c r="AL33" s="43" t="str">
        <f t="shared" si="5"/>
        <v/>
      </c>
      <c r="AM33" s="43" t="str">
        <f t="shared" si="6"/>
        <v/>
      </c>
      <c r="AN33" s="43"/>
      <c r="AO33" s="43" t="str">
        <f t="shared" si="7"/>
        <v/>
      </c>
      <c r="AP33" s="43" t="str">
        <f t="shared" si="8"/>
        <v/>
      </c>
      <c r="AQ33" s="43"/>
      <c r="AR33" s="43"/>
      <c r="AS33" s="43"/>
      <c r="AT33" s="43" t="str">
        <f t="shared" si="9"/>
        <v/>
      </c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>
        <f t="shared" si="10"/>
        <v>0</v>
      </c>
      <c r="BI33" s="129"/>
      <c r="BJ33" s="253"/>
    </row>
    <row r="34" spans="1:169" s="207" customFormat="1" x14ac:dyDescent="0.25">
      <c r="A34" s="43"/>
      <c r="B34" s="201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 t="str">
        <f t="shared" si="1"/>
        <v/>
      </c>
      <c r="AI34" s="43" t="str">
        <f t="shared" si="2"/>
        <v/>
      </c>
      <c r="AJ34" s="43" t="str">
        <f t="shared" si="3"/>
        <v/>
      </c>
      <c r="AK34" s="43">
        <f t="shared" si="4"/>
        <v>0</v>
      </c>
      <c r="AL34" s="43" t="str">
        <f t="shared" si="5"/>
        <v/>
      </c>
      <c r="AM34" s="43" t="str">
        <f t="shared" si="6"/>
        <v/>
      </c>
      <c r="AN34" s="43"/>
      <c r="AO34" s="43" t="str">
        <f t="shared" si="7"/>
        <v/>
      </c>
      <c r="AP34" s="43" t="str">
        <f t="shared" si="8"/>
        <v/>
      </c>
      <c r="AQ34" s="43"/>
      <c r="AR34" s="43"/>
      <c r="AS34" s="43"/>
      <c r="AT34" s="43" t="str">
        <f t="shared" si="9"/>
        <v/>
      </c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>
        <f t="shared" si="10"/>
        <v>0</v>
      </c>
      <c r="BI34" s="129"/>
      <c r="BJ34" s="253"/>
    </row>
    <row r="35" spans="1:169" s="207" customFormat="1" x14ac:dyDescent="0.25">
      <c r="A35" s="43"/>
      <c r="B35" s="201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 t="str">
        <f t="shared" si="1"/>
        <v/>
      </c>
      <c r="AI35" s="43" t="str">
        <f t="shared" si="2"/>
        <v/>
      </c>
      <c r="AJ35" s="43" t="str">
        <f t="shared" si="3"/>
        <v/>
      </c>
      <c r="AK35" s="43">
        <f t="shared" si="4"/>
        <v>0</v>
      </c>
      <c r="AL35" s="43" t="str">
        <f t="shared" si="5"/>
        <v/>
      </c>
      <c r="AM35" s="43" t="str">
        <f t="shared" si="6"/>
        <v/>
      </c>
      <c r="AN35" s="43"/>
      <c r="AO35" s="43" t="str">
        <f t="shared" si="7"/>
        <v/>
      </c>
      <c r="AP35" s="43" t="str">
        <f t="shared" si="8"/>
        <v/>
      </c>
      <c r="AQ35" s="43"/>
      <c r="AR35" s="43"/>
      <c r="AS35" s="43"/>
      <c r="AT35" s="43" t="str">
        <f t="shared" si="9"/>
        <v/>
      </c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>
        <f t="shared" si="10"/>
        <v>0</v>
      </c>
      <c r="BI35" s="129"/>
      <c r="BJ35" s="253"/>
    </row>
    <row r="36" spans="1:169" s="207" customFormat="1" x14ac:dyDescent="0.25">
      <c r="A36" s="43"/>
      <c r="B36" s="201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 t="str">
        <f t="shared" si="1"/>
        <v/>
      </c>
      <c r="AI36" s="43" t="str">
        <f t="shared" si="2"/>
        <v/>
      </c>
      <c r="AJ36" s="43" t="str">
        <f t="shared" si="3"/>
        <v/>
      </c>
      <c r="AK36" s="43">
        <f t="shared" si="4"/>
        <v>0</v>
      </c>
      <c r="AL36" s="43" t="str">
        <f t="shared" si="5"/>
        <v/>
      </c>
      <c r="AM36" s="43" t="str">
        <f t="shared" si="6"/>
        <v/>
      </c>
      <c r="AN36" s="43"/>
      <c r="AO36" s="43" t="str">
        <f t="shared" si="7"/>
        <v/>
      </c>
      <c r="AP36" s="43" t="str">
        <f t="shared" si="8"/>
        <v/>
      </c>
      <c r="AQ36" s="43"/>
      <c r="AR36" s="43"/>
      <c r="AS36" s="43"/>
      <c r="AT36" s="43" t="str">
        <f t="shared" si="9"/>
        <v/>
      </c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>
        <f t="shared" si="10"/>
        <v>0</v>
      </c>
      <c r="BI36" s="129"/>
      <c r="BJ36" s="253"/>
    </row>
    <row r="37" spans="1:169" s="207" customFormat="1" x14ac:dyDescent="0.25">
      <c r="A37" s="43"/>
      <c r="B37" s="201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 t="str">
        <f t="shared" si="1"/>
        <v/>
      </c>
      <c r="AI37" s="43" t="str">
        <f t="shared" si="2"/>
        <v/>
      </c>
      <c r="AJ37" s="43" t="str">
        <f t="shared" si="3"/>
        <v/>
      </c>
      <c r="AK37" s="43">
        <f t="shared" si="4"/>
        <v>0</v>
      </c>
      <c r="AL37" s="43" t="str">
        <f t="shared" si="5"/>
        <v/>
      </c>
      <c r="AM37" s="43" t="str">
        <f t="shared" si="6"/>
        <v/>
      </c>
      <c r="AN37" s="43"/>
      <c r="AO37" s="43" t="str">
        <f t="shared" si="7"/>
        <v/>
      </c>
      <c r="AP37" s="43" t="str">
        <f t="shared" si="8"/>
        <v/>
      </c>
      <c r="AQ37" s="43"/>
      <c r="AR37" s="43"/>
      <c r="AS37" s="43"/>
      <c r="AT37" s="43" t="str">
        <f t="shared" si="9"/>
        <v/>
      </c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>
        <f t="shared" si="10"/>
        <v>0</v>
      </c>
      <c r="BI37" s="129"/>
      <c r="BJ37" s="253"/>
    </row>
    <row r="38" spans="1:169" s="207" customFormat="1" x14ac:dyDescent="0.25">
      <c r="A38" s="43"/>
      <c r="B38" s="201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 t="str">
        <f t="shared" si="1"/>
        <v/>
      </c>
      <c r="AI38" s="43" t="str">
        <f t="shared" si="2"/>
        <v/>
      </c>
      <c r="AJ38" s="43" t="str">
        <f t="shared" si="3"/>
        <v/>
      </c>
      <c r="AK38" s="43">
        <f t="shared" si="4"/>
        <v>0</v>
      </c>
      <c r="AL38" s="43" t="str">
        <f t="shared" si="5"/>
        <v/>
      </c>
      <c r="AM38" s="43" t="str">
        <f t="shared" si="6"/>
        <v/>
      </c>
      <c r="AN38" s="43"/>
      <c r="AO38" s="43" t="str">
        <f t="shared" si="7"/>
        <v/>
      </c>
      <c r="AP38" s="43" t="str">
        <f t="shared" si="8"/>
        <v/>
      </c>
      <c r="AQ38" s="43"/>
      <c r="AR38" s="43"/>
      <c r="AS38" s="43"/>
      <c r="AT38" s="43" t="str">
        <f t="shared" si="9"/>
        <v/>
      </c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>
        <f t="shared" si="10"/>
        <v>0</v>
      </c>
      <c r="BI38" s="129"/>
      <c r="BJ38" s="253"/>
    </row>
    <row r="39" spans="1:169" s="207" customFormat="1" x14ac:dyDescent="0.25">
      <c r="A39" s="43"/>
      <c r="B39" s="201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 t="str">
        <f t="shared" si="1"/>
        <v/>
      </c>
      <c r="AI39" s="43" t="str">
        <f t="shared" si="2"/>
        <v/>
      </c>
      <c r="AJ39" s="43" t="str">
        <f t="shared" si="3"/>
        <v/>
      </c>
      <c r="AK39" s="43">
        <f t="shared" si="4"/>
        <v>0</v>
      </c>
      <c r="AL39" s="43" t="str">
        <f t="shared" si="5"/>
        <v/>
      </c>
      <c r="AM39" s="43" t="str">
        <f t="shared" si="6"/>
        <v/>
      </c>
      <c r="AN39" s="43"/>
      <c r="AO39" s="43" t="str">
        <f t="shared" si="7"/>
        <v/>
      </c>
      <c r="AP39" s="43" t="str">
        <f t="shared" si="8"/>
        <v/>
      </c>
      <c r="AQ39" s="43"/>
      <c r="AR39" s="43"/>
      <c r="AS39" s="43"/>
      <c r="AT39" s="43" t="str">
        <f t="shared" si="9"/>
        <v/>
      </c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>
        <f t="shared" si="10"/>
        <v>0</v>
      </c>
      <c r="BI39" s="129"/>
      <c r="BJ39" s="253"/>
    </row>
    <row r="40" spans="1:169" s="207" customFormat="1" x14ac:dyDescent="0.25">
      <c r="A40" s="43"/>
      <c r="B40" s="201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 t="str">
        <f t="shared" si="1"/>
        <v/>
      </c>
      <c r="AI40" s="43" t="str">
        <f t="shared" si="2"/>
        <v/>
      </c>
      <c r="AJ40" s="43" t="str">
        <f t="shared" si="3"/>
        <v/>
      </c>
      <c r="AK40" s="43" t="str">
        <f t="shared" ref="AK40:AK51" si="11" xml:space="preserve"> IF(N40&lt;&gt;"", 0.05*K40+2,"")</f>
        <v/>
      </c>
      <c r="AL40" s="43" t="str">
        <f t="shared" si="5"/>
        <v/>
      </c>
      <c r="AM40" s="43" t="str">
        <f t="shared" si="6"/>
        <v/>
      </c>
      <c r="AN40" s="43"/>
      <c r="AO40" s="43" t="str">
        <f t="shared" si="7"/>
        <v/>
      </c>
      <c r="AP40" s="43" t="str">
        <f t="shared" si="8"/>
        <v/>
      </c>
      <c r="AQ40" s="43"/>
      <c r="AR40" s="43"/>
      <c r="AS40" s="43"/>
      <c r="AT40" s="43" t="str">
        <f t="shared" si="9"/>
        <v/>
      </c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>
        <f t="shared" si="10"/>
        <v>0</v>
      </c>
      <c r="BJ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</row>
    <row r="41" spans="1:169" s="129" customFormat="1" x14ac:dyDescent="0.25">
      <c r="A41" s="43"/>
      <c r="B41" s="201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 t="str">
        <f t="shared" si="1"/>
        <v/>
      </c>
      <c r="AI41" s="43" t="str">
        <f t="shared" si="2"/>
        <v/>
      </c>
      <c r="AJ41" s="43" t="str">
        <f t="shared" si="3"/>
        <v/>
      </c>
      <c r="AK41" s="43" t="str">
        <f t="shared" si="11"/>
        <v/>
      </c>
      <c r="AL41" s="43" t="str">
        <f t="shared" si="5"/>
        <v/>
      </c>
      <c r="AM41" s="43" t="str">
        <f t="shared" si="6"/>
        <v/>
      </c>
      <c r="AN41" s="43"/>
      <c r="AO41" s="43" t="str">
        <f t="shared" si="7"/>
        <v/>
      </c>
      <c r="AP41" s="43" t="str">
        <f t="shared" si="8"/>
        <v/>
      </c>
      <c r="AQ41" s="43"/>
      <c r="AR41" s="43"/>
      <c r="AS41" s="43"/>
      <c r="AT41" s="43" t="str">
        <f t="shared" si="9"/>
        <v/>
      </c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>
        <f t="shared" si="10"/>
        <v>0</v>
      </c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7"/>
      <c r="BW41" s="207"/>
      <c r="BX41" s="207"/>
      <c r="BY41" s="207"/>
      <c r="BZ41" s="207"/>
      <c r="CA41" s="207"/>
      <c r="CB41" s="207"/>
      <c r="CC41" s="207"/>
      <c r="CD41" s="207"/>
      <c r="CE41" s="207"/>
      <c r="CF41" s="207"/>
      <c r="CG41" s="207"/>
      <c r="CH41" s="207"/>
      <c r="CI41" s="207"/>
      <c r="CJ41" s="207"/>
      <c r="CK41" s="207"/>
      <c r="CL41" s="207"/>
      <c r="CM41" s="207"/>
      <c r="CN41" s="207"/>
      <c r="CO41" s="207"/>
      <c r="CP41" s="207"/>
      <c r="CQ41" s="207"/>
      <c r="CR41" s="207"/>
      <c r="CS41" s="207"/>
      <c r="CT41" s="207"/>
      <c r="CU41" s="207"/>
      <c r="CV41" s="207"/>
      <c r="CW41" s="207"/>
      <c r="CX41" s="207"/>
      <c r="CY41" s="207"/>
      <c r="CZ41" s="207"/>
      <c r="DA41" s="207"/>
      <c r="DB41" s="207"/>
      <c r="DC41" s="207"/>
      <c r="DD41" s="207"/>
      <c r="DE41" s="207"/>
      <c r="DF41" s="207"/>
      <c r="DG41" s="207"/>
      <c r="DH41" s="207"/>
      <c r="DI41" s="207"/>
      <c r="DJ41" s="207"/>
      <c r="DK41" s="207"/>
      <c r="DL41" s="207"/>
      <c r="DM41" s="207"/>
      <c r="DN41" s="207"/>
      <c r="DO41" s="207"/>
      <c r="DP41" s="207"/>
      <c r="DQ41" s="207"/>
      <c r="DR41" s="207"/>
      <c r="DS41" s="207"/>
      <c r="DT41" s="207"/>
      <c r="DU41" s="207"/>
      <c r="DV41" s="207"/>
      <c r="DW41" s="207"/>
      <c r="DX41" s="207"/>
      <c r="DY41" s="207"/>
      <c r="DZ41" s="207"/>
      <c r="EA41" s="207"/>
      <c r="EB41" s="207"/>
      <c r="EC41" s="207"/>
      <c r="ED41" s="207"/>
      <c r="EE41" s="207"/>
      <c r="EF41" s="207"/>
      <c r="EG41" s="207"/>
      <c r="EH41" s="207"/>
      <c r="EI41" s="207"/>
      <c r="EJ41" s="207"/>
      <c r="EK41" s="207"/>
      <c r="EL41" s="207"/>
      <c r="EM41" s="207"/>
      <c r="EN41" s="207"/>
      <c r="EO41" s="207"/>
      <c r="EP41" s="207"/>
      <c r="EQ41" s="207"/>
      <c r="ER41" s="207"/>
      <c r="ES41" s="207"/>
      <c r="ET41" s="207"/>
      <c r="EU41" s="207"/>
      <c r="EV41" s="207"/>
      <c r="EW41" s="207"/>
      <c r="EX41" s="207"/>
      <c r="EY41" s="207"/>
      <c r="EZ41" s="207"/>
      <c r="FA41" s="207"/>
      <c r="FB41" s="207"/>
      <c r="FC41" s="207"/>
      <c r="FD41" s="207"/>
      <c r="FE41" s="207"/>
      <c r="FF41" s="207"/>
      <c r="FG41" s="207"/>
      <c r="FH41" s="207"/>
      <c r="FI41" s="207"/>
      <c r="FJ41" s="207"/>
      <c r="FK41" s="207"/>
      <c r="FL41" s="207"/>
      <c r="FM41" s="207"/>
    </row>
    <row r="42" spans="1:169" s="207" customFormat="1" x14ac:dyDescent="0.25">
      <c r="A42" s="43"/>
      <c r="B42" s="201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 t="str">
        <f t="shared" si="1"/>
        <v/>
      </c>
      <c r="AI42" s="43" t="str">
        <f t="shared" si="2"/>
        <v/>
      </c>
      <c r="AJ42" s="43" t="str">
        <f t="shared" si="3"/>
        <v/>
      </c>
      <c r="AK42" s="43" t="str">
        <f t="shared" si="11"/>
        <v/>
      </c>
      <c r="AL42" s="43" t="str">
        <f t="shared" si="5"/>
        <v/>
      </c>
      <c r="AM42" s="43" t="str">
        <f t="shared" si="6"/>
        <v/>
      </c>
      <c r="AN42" s="43"/>
      <c r="AO42" s="43" t="str">
        <f t="shared" si="7"/>
        <v/>
      </c>
      <c r="AP42" s="43" t="str">
        <f t="shared" si="8"/>
        <v/>
      </c>
      <c r="AQ42" s="43"/>
      <c r="AR42" s="43"/>
      <c r="AS42" s="43"/>
      <c r="AT42" s="43" t="str">
        <f t="shared" si="9"/>
        <v/>
      </c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>
        <f t="shared" si="10"/>
        <v>0</v>
      </c>
      <c r="BG42" s="129"/>
      <c r="BH42" s="129"/>
    </row>
    <row r="43" spans="1:169" s="129" customFormat="1" ht="13.5" customHeight="1" x14ac:dyDescent="0.25">
      <c r="A43" s="43"/>
      <c r="B43" s="201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 t="str">
        <f t="shared" si="1"/>
        <v/>
      </c>
      <c r="AI43" s="43" t="str">
        <f t="shared" si="2"/>
        <v/>
      </c>
      <c r="AJ43" s="43" t="str">
        <f t="shared" si="3"/>
        <v/>
      </c>
      <c r="AK43" s="43" t="str">
        <f t="shared" si="11"/>
        <v/>
      </c>
      <c r="AL43" s="43" t="str">
        <f t="shared" si="5"/>
        <v/>
      </c>
      <c r="AM43" s="43" t="str">
        <f t="shared" si="6"/>
        <v/>
      </c>
      <c r="AN43" s="43"/>
      <c r="AO43" s="43" t="str">
        <f t="shared" si="7"/>
        <v/>
      </c>
      <c r="AP43" s="43" t="str">
        <f t="shared" si="8"/>
        <v/>
      </c>
      <c r="AQ43" s="43"/>
      <c r="AR43" s="43"/>
      <c r="AS43" s="43"/>
      <c r="AT43" s="43" t="str">
        <f t="shared" si="9"/>
        <v/>
      </c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>
        <f t="shared" si="10"/>
        <v>0</v>
      </c>
      <c r="BI43" s="207"/>
      <c r="BJ43" s="207"/>
      <c r="BK43" s="207"/>
      <c r="BL43" s="207"/>
      <c r="BM43" s="207"/>
      <c r="BN43" s="207"/>
      <c r="BO43" s="207"/>
      <c r="BP43" s="207"/>
      <c r="BQ43" s="207"/>
      <c r="BR43" s="207"/>
      <c r="BS43" s="207"/>
      <c r="BT43" s="207"/>
      <c r="BU43" s="207"/>
      <c r="BV43" s="207"/>
      <c r="BW43" s="207"/>
      <c r="BX43" s="207"/>
      <c r="BY43" s="207"/>
      <c r="BZ43" s="207"/>
      <c r="CA43" s="207"/>
      <c r="CB43" s="207"/>
      <c r="CC43" s="207"/>
      <c r="CD43" s="207"/>
      <c r="CE43" s="207"/>
      <c r="CF43" s="207"/>
      <c r="CG43" s="207"/>
      <c r="CH43" s="207"/>
      <c r="CI43" s="207"/>
      <c r="CJ43" s="207"/>
      <c r="CK43" s="207"/>
      <c r="CL43" s="207"/>
      <c r="CM43" s="207"/>
      <c r="CN43" s="207"/>
      <c r="CO43" s="207"/>
      <c r="CP43" s="207"/>
      <c r="CQ43" s="207"/>
      <c r="CR43" s="207"/>
      <c r="CS43" s="207"/>
      <c r="CT43" s="207"/>
      <c r="CU43" s="207"/>
      <c r="CV43" s="207"/>
      <c r="CW43" s="207"/>
      <c r="CX43" s="207"/>
      <c r="CY43" s="207"/>
      <c r="CZ43" s="207"/>
      <c r="DA43" s="207"/>
      <c r="DB43" s="207"/>
      <c r="DC43" s="207"/>
      <c r="DD43" s="207"/>
      <c r="DE43" s="207"/>
      <c r="DF43" s="207"/>
      <c r="DG43" s="207"/>
      <c r="DH43" s="207"/>
      <c r="DI43" s="207"/>
      <c r="DJ43" s="207"/>
      <c r="DK43" s="207"/>
      <c r="DL43" s="207"/>
      <c r="DM43" s="207"/>
      <c r="DN43" s="207"/>
      <c r="DO43" s="207"/>
      <c r="DP43" s="207"/>
      <c r="DQ43" s="207"/>
      <c r="DR43" s="207"/>
      <c r="DS43" s="207"/>
      <c r="DT43" s="207"/>
      <c r="DU43" s="207"/>
      <c r="DV43" s="207"/>
      <c r="DW43" s="207"/>
      <c r="DX43" s="207"/>
      <c r="DY43" s="207"/>
      <c r="DZ43" s="207"/>
      <c r="EA43" s="207"/>
      <c r="EB43" s="207"/>
      <c r="EC43" s="207"/>
      <c r="ED43" s="207"/>
      <c r="EE43" s="207"/>
      <c r="EF43" s="207"/>
      <c r="EG43" s="207"/>
      <c r="EH43" s="207"/>
      <c r="EI43" s="207"/>
      <c r="EJ43" s="207"/>
      <c r="EK43" s="207"/>
      <c r="EL43" s="207"/>
      <c r="EM43" s="207"/>
      <c r="EN43" s="207"/>
      <c r="EO43" s="207"/>
      <c r="EP43" s="207"/>
      <c r="EQ43" s="207"/>
      <c r="ER43" s="207"/>
      <c r="ES43" s="207"/>
      <c r="ET43" s="207"/>
      <c r="EU43" s="207"/>
      <c r="EV43" s="207"/>
      <c r="EW43" s="207"/>
      <c r="EX43" s="207"/>
      <c r="EY43" s="207"/>
      <c r="EZ43" s="207"/>
      <c r="FA43" s="207"/>
      <c r="FB43" s="207"/>
      <c r="FC43" s="207"/>
      <c r="FD43" s="207"/>
      <c r="FE43" s="207"/>
      <c r="FF43" s="207"/>
      <c r="FG43" s="207"/>
      <c r="FH43" s="207"/>
      <c r="FI43" s="207"/>
      <c r="FJ43" s="207"/>
      <c r="FK43" s="207"/>
      <c r="FL43" s="207"/>
      <c r="FM43" s="207"/>
    </row>
    <row r="44" spans="1:169" s="129" customFormat="1" ht="12.75" customHeight="1" x14ac:dyDescent="0.25">
      <c r="A44" s="43"/>
      <c r="B44" s="201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 t="str">
        <f t="shared" si="1"/>
        <v/>
      </c>
      <c r="AI44" s="43" t="str">
        <f t="shared" si="2"/>
        <v/>
      </c>
      <c r="AJ44" s="43" t="str">
        <f t="shared" si="3"/>
        <v/>
      </c>
      <c r="AK44" s="43" t="str">
        <f t="shared" si="11"/>
        <v/>
      </c>
      <c r="AL44" s="43" t="str">
        <f t="shared" si="5"/>
        <v/>
      </c>
      <c r="AM44" s="43" t="str">
        <f t="shared" si="6"/>
        <v/>
      </c>
      <c r="AN44" s="43"/>
      <c r="AO44" s="43" t="str">
        <f t="shared" si="7"/>
        <v/>
      </c>
      <c r="AP44" s="43" t="str">
        <f t="shared" si="8"/>
        <v/>
      </c>
      <c r="AQ44" s="43"/>
      <c r="AR44" s="43"/>
      <c r="AS44" s="43"/>
      <c r="AT44" s="43" t="str">
        <f t="shared" si="9"/>
        <v/>
      </c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>
        <f t="shared" si="10"/>
        <v>0</v>
      </c>
      <c r="BI44" s="207"/>
      <c r="BJ44" s="207"/>
      <c r="BK44" s="207"/>
      <c r="BL44" s="207"/>
      <c r="BM44" s="207"/>
      <c r="BN44" s="207"/>
      <c r="BO44" s="207"/>
      <c r="BP44" s="207"/>
      <c r="BQ44" s="207"/>
      <c r="BR44" s="207"/>
      <c r="BS44" s="207"/>
      <c r="BT44" s="207"/>
      <c r="BU44" s="207"/>
      <c r="BV44" s="207"/>
      <c r="BW44" s="207"/>
      <c r="BX44" s="207"/>
      <c r="BY44" s="207"/>
      <c r="BZ44" s="207"/>
      <c r="CA44" s="207"/>
      <c r="CB44" s="207"/>
      <c r="CC44" s="207"/>
      <c r="CD44" s="207"/>
      <c r="CE44" s="207"/>
      <c r="CF44" s="207"/>
      <c r="CG44" s="207"/>
      <c r="CH44" s="207"/>
      <c r="CI44" s="207"/>
      <c r="CJ44" s="207"/>
      <c r="CK44" s="207"/>
      <c r="CL44" s="207"/>
      <c r="CM44" s="207"/>
      <c r="CN44" s="207"/>
      <c r="CO44" s="207"/>
      <c r="CP44" s="207"/>
      <c r="CQ44" s="207"/>
      <c r="CR44" s="207"/>
      <c r="CS44" s="207"/>
      <c r="CT44" s="207"/>
      <c r="CU44" s="207"/>
      <c r="CV44" s="207"/>
      <c r="CW44" s="207"/>
      <c r="CX44" s="207"/>
      <c r="CY44" s="207"/>
      <c r="CZ44" s="207"/>
      <c r="DA44" s="207"/>
      <c r="DB44" s="207"/>
      <c r="DC44" s="207"/>
      <c r="DD44" s="207"/>
      <c r="DE44" s="207"/>
      <c r="DF44" s="207"/>
      <c r="DG44" s="207"/>
      <c r="DH44" s="207"/>
      <c r="DI44" s="207"/>
      <c r="DJ44" s="207"/>
      <c r="DK44" s="207"/>
      <c r="DL44" s="207"/>
      <c r="DM44" s="207"/>
      <c r="DN44" s="207"/>
      <c r="DO44" s="207"/>
      <c r="DP44" s="207"/>
      <c r="DQ44" s="207"/>
      <c r="DR44" s="207"/>
      <c r="DS44" s="207"/>
      <c r="DT44" s="207"/>
      <c r="DU44" s="207"/>
      <c r="DV44" s="207"/>
      <c r="DW44" s="207"/>
      <c r="DX44" s="207"/>
      <c r="DY44" s="207"/>
      <c r="DZ44" s="207"/>
      <c r="EA44" s="207"/>
      <c r="EB44" s="207"/>
      <c r="EC44" s="207"/>
      <c r="ED44" s="207"/>
      <c r="EE44" s="207"/>
      <c r="EF44" s="207"/>
      <c r="EG44" s="207"/>
      <c r="EH44" s="207"/>
      <c r="EI44" s="207"/>
      <c r="EJ44" s="207"/>
      <c r="EK44" s="207"/>
      <c r="EL44" s="207"/>
      <c r="EM44" s="207"/>
      <c r="EN44" s="207"/>
      <c r="EO44" s="207"/>
      <c r="EP44" s="207"/>
      <c r="EQ44" s="207"/>
      <c r="ER44" s="207"/>
      <c r="ES44" s="207"/>
      <c r="ET44" s="207"/>
      <c r="EU44" s="207"/>
      <c r="EV44" s="207"/>
      <c r="EW44" s="207"/>
      <c r="EX44" s="207"/>
      <c r="EY44" s="207"/>
      <c r="EZ44" s="207"/>
      <c r="FA44" s="207"/>
      <c r="FB44" s="207"/>
      <c r="FC44" s="207"/>
      <c r="FD44" s="207"/>
      <c r="FE44" s="207"/>
      <c r="FF44" s="207"/>
      <c r="FG44" s="207"/>
      <c r="FH44" s="207"/>
      <c r="FI44" s="207"/>
      <c r="FJ44" s="207"/>
      <c r="FK44" s="207"/>
      <c r="FL44" s="207"/>
      <c r="FM44" s="207"/>
    </row>
    <row r="45" spans="1:169" s="207" customFormat="1" x14ac:dyDescent="0.25">
      <c r="A45" s="43"/>
      <c r="B45" s="201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 t="str">
        <f t="shared" si="1"/>
        <v/>
      </c>
      <c r="AI45" s="43" t="str">
        <f t="shared" si="2"/>
        <v/>
      </c>
      <c r="AJ45" s="43" t="str">
        <f t="shared" si="3"/>
        <v/>
      </c>
      <c r="AK45" s="43" t="str">
        <f t="shared" si="11"/>
        <v/>
      </c>
      <c r="AL45" s="43" t="str">
        <f t="shared" si="5"/>
        <v/>
      </c>
      <c r="AM45" s="43" t="str">
        <f t="shared" si="6"/>
        <v/>
      </c>
      <c r="AN45" s="43"/>
      <c r="AO45" s="43" t="str">
        <f t="shared" si="7"/>
        <v/>
      </c>
      <c r="AP45" s="43" t="str">
        <f t="shared" si="8"/>
        <v/>
      </c>
      <c r="AQ45" s="43"/>
      <c r="AR45" s="43"/>
      <c r="AS45" s="43"/>
      <c r="AT45" s="43" t="str">
        <f t="shared" si="9"/>
        <v/>
      </c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>
        <f t="shared" si="10"/>
        <v>0</v>
      </c>
      <c r="BG45" s="129"/>
      <c r="BH45" s="129"/>
    </row>
    <row r="46" spans="1:169" s="129" customFormat="1" x14ac:dyDescent="0.25">
      <c r="A46" s="43"/>
      <c r="B46" s="201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 t="str">
        <f t="shared" si="1"/>
        <v/>
      </c>
      <c r="AI46" s="43" t="str">
        <f t="shared" si="2"/>
        <v/>
      </c>
      <c r="AJ46" s="43" t="str">
        <f t="shared" si="3"/>
        <v/>
      </c>
      <c r="AK46" s="43" t="str">
        <f t="shared" si="11"/>
        <v/>
      </c>
      <c r="AL46" s="43" t="str">
        <f t="shared" si="5"/>
        <v/>
      </c>
      <c r="AM46" s="43" t="str">
        <f t="shared" si="6"/>
        <v/>
      </c>
      <c r="AN46" s="43"/>
      <c r="AO46" s="43" t="str">
        <f t="shared" si="7"/>
        <v/>
      </c>
      <c r="AP46" s="43" t="str">
        <f t="shared" si="8"/>
        <v/>
      </c>
      <c r="AQ46" s="43"/>
      <c r="AR46" s="43"/>
      <c r="AS46" s="43"/>
      <c r="AT46" s="43" t="str">
        <f t="shared" si="9"/>
        <v/>
      </c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>
        <f t="shared" si="10"/>
        <v>0</v>
      </c>
      <c r="BI46" s="207"/>
      <c r="BJ46" s="207"/>
      <c r="BK46" s="207"/>
      <c r="BL46" s="207"/>
      <c r="BM46" s="207"/>
      <c r="BN46" s="207"/>
      <c r="BO46" s="207"/>
      <c r="BP46" s="207"/>
      <c r="BQ46" s="207"/>
      <c r="BR46" s="207"/>
      <c r="BS46" s="207"/>
      <c r="BT46" s="207"/>
      <c r="BU46" s="207"/>
      <c r="BV46" s="207"/>
      <c r="BW46" s="207"/>
      <c r="BX46" s="207"/>
      <c r="BY46" s="207"/>
      <c r="BZ46" s="207"/>
      <c r="CA46" s="207"/>
      <c r="CB46" s="207"/>
      <c r="CC46" s="207"/>
      <c r="CD46" s="207"/>
      <c r="CE46" s="207"/>
      <c r="CF46" s="207"/>
      <c r="CG46" s="207"/>
      <c r="CH46" s="207"/>
      <c r="CI46" s="207"/>
      <c r="CJ46" s="207"/>
      <c r="CK46" s="207"/>
      <c r="CL46" s="207"/>
      <c r="CM46" s="207"/>
      <c r="CN46" s="207"/>
      <c r="CO46" s="207"/>
      <c r="CP46" s="207"/>
      <c r="CQ46" s="207"/>
      <c r="CR46" s="207"/>
      <c r="CS46" s="207"/>
      <c r="CT46" s="207"/>
      <c r="CU46" s="207"/>
      <c r="CV46" s="207"/>
      <c r="CW46" s="207"/>
      <c r="CX46" s="207"/>
      <c r="CY46" s="207"/>
      <c r="CZ46" s="207"/>
      <c r="DA46" s="207"/>
      <c r="DB46" s="207"/>
      <c r="DC46" s="207"/>
      <c r="DD46" s="207"/>
      <c r="DE46" s="207"/>
      <c r="DF46" s="207"/>
      <c r="DG46" s="207"/>
      <c r="DH46" s="207"/>
      <c r="DI46" s="207"/>
      <c r="DJ46" s="207"/>
      <c r="DK46" s="207"/>
      <c r="DL46" s="207"/>
      <c r="DM46" s="207"/>
      <c r="DN46" s="207"/>
      <c r="DO46" s="207"/>
      <c r="DP46" s="207"/>
      <c r="DQ46" s="207"/>
      <c r="DR46" s="207"/>
      <c r="DS46" s="207"/>
      <c r="DT46" s="207"/>
      <c r="DU46" s="207"/>
      <c r="DV46" s="207"/>
      <c r="DW46" s="207"/>
      <c r="DX46" s="207"/>
      <c r="DY46" s="207"/>
      <c r="DZ46" s="207"/>
      <c r="EA46" s="207"/>
      <c r="EB46" s="207"/>
      <c r="EC46" s="207"/>
      <c r="ED46" s="207"/>
      <c r="EE46" s="207"/>
      <c r="EF46" s="207"/>
      <c r="EG46" s="207"/>
      <c r="EH46" s="207"/>
      <c r="EI46" s="207"/>
      <c r="EJ46" s="207"/>
      <c r="EK46" s="207"/>
      <c r="EL46" s="207"/>
      <c r="EM46" s="207"/>
      <c r="EN46" s="207"/>
      <c r="EO46" s="207"/>
      <c r="EP46" s="207"/>
      <c r="EQ46" s="207"/>
      <c r="ER46" s="207"/>
      <c r="ES46" s="207"/>
      <c r="ET46" s="207"/>
      <c r="EU46" s="207"/>
      <c r="EV46" s="207"/>
      <c r="EW46" s="207"/>
      <c r="EX46" s="207"/>
      <c r="EY46" s="207"/>
      <c r="EZ46" s="207"/>
      <c r="FA46" s="207"/>
      <c r="FB46" s="207"/>
      <c r="FC46" s="207"/>
      <c r="FD46" s="207"/>
      <c r="FE46" s="207"/>
      <c r="FF46" s="207"/>
      <c r="FG46" s="207"/>
      <c r="FH46" s="207"/>
      <c r="FI46" s="207"/>
      <c r="FJ46" s="207"/>
      <c r="FK46" s="207"/>
      <c r="FL46" s="207"/>
      <c r="FM46" s="207"/>
    </row>
    <row r="47" spans="1:169" s="207" customFormat="1" x14ac:dyDescent="0.25">
      <c r="A47" s="43"/>
      <c r="B47" s="201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 t="str">
        <f t="shared" si="1"/>
        <v/>
      </c>
      <c r="AI47" s="43" t="str">
        <f t="shared" si="2"/>
        <v/>
      </c>
      <c r="AJ47" s="43" t="str">
        <f t="shared" si="3"/>
        <v/>
      </c>
      <c r="AK47" s="43" t="str">
        <f t="shared" si="11"/>
        <v/>
      </c>
      <c r="AL47" s="43" t="str">
        <f t="shared" si="5"/>
        <v/>
      </c>
      <c r="AM47" s="43" t="str">
        <f t="shared" si="6"/>
        <v/>
      </c>
      <c r="AN47" s="43"/>
      <c r="AO47" s="43" t="str">
        <f t="shared" si="7"/>
        <v/>
      </c>
      <c r="AP47" s="43" t="str">
        <f t="shared" si="8"/>
        <v/>
      </c>
      <c r="AQ47" s="43"/>
      <c r="AR47" s="43"/>
      <c r="AS47" s="43"/>
      <c r="AT47" s="43" t="str">
        <f t="shared" si="9"/>
        <v/>
      </c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>
        <f t="shared" si="10"/>
        <v>0</v>
      </c>
      <c r="BG47" s="129"/>
      <c r="BH47" s="129"/>
    </row>
    <row r="48" spans="1:169" s="207" customFormat="1" x14ac:dyDescent="0.25">
      <c r="A48" s="43"/>
      <c r="B48" s="201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 t="str">
        <f t="shared" si="1"/>
        <v/>
      </c>
      <c r="AI48" s="43" t="str">
        <f t="shared" si="2"/>
        <v/>
      </c>
      <c r="AJ48" s="43" t="str">
        <f t="shared" si="3"/>
        <v/>
      </c>
      <c r="AK48" s="43" t="str">
        <f t="shared" si="11"/>
        <v/>
      </c>
      <c r="AL48" s="43" t="str">
        <f t="shared" si="5"/>
        <v/>
      </c>
      <c r="AM48" s="43" t="str">
        <f t="shared" si="6"/>
        <v/>
      </c>
      <c r="AN48" s="43"/>
      <c r="AO48" s="43" t="str">
        <f t="shared" si="7"/>
        <v/>
      </c>
      <c r="AP48" s="43" t="str">
        <f t="shared" si="8"/>
        <v/>
      </c>
      <c r="AQ48" s="43"/>
      <c r="AR48" s="43"/>
      <c r="AS48" s="43"/>
      <c r="AT48" s="43" t="str">
        <f t="shared" si="9"/>
        <v/>
      </c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>
        <f t="shared" si="10"/>
        <v>0</v>
      </c>
      <c r="BG48" s="264"/>
      <c r="BH48" s="264"/>
    </row>
    <row r="49" spans="1:60" s="207" customFormat="1" hidden="1" x14ac:dyDescent="0.25">
      <c r="A49" s="43"/>
      <c r="B49" s="201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 t="str">
        <f t="shared" si="1"/>
        <v/>
      </c>
      <c r="AI49" s="43" t="str">
        <f t="shared" si="2"/>
        <v/>
      </c>
      <c r="AJ49" s="43" t="str">
        <f t="shared" si="3"/>
        <v/>
      </c>
      <c r="AK49" s="43" t="str">
        <f t="shared" si="11"/>
        <v/>
      </c>
      <c r="AL49" s="43" t="str">
        <f t="shared" si="5"/>
        <v/>
      </c>
      <c r="AM49" s="43" t="str">
        <f t="shared" si="6"/>
        <v/>
      </c>
      <c r="AN49" s="43"/>
      <c r="AO49" s="43" t="str">
        <f t="shared" si="7"/>
        <v/>
      </c>
      <c r="AP49" s="43" t="str">
        <f t="shared" si="8"/>
        <v/>
      </c>
      <c r="AQ49" s="43"/>
      <c r="AR49" s="43"/>
      <c r="AS49" s="43"/>
      <c r="AT49" s="43" t="str">
        <f t="shared" si="9"/>
        <v/>
      </c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>
        <f t="shared" si="10"/>
        <v>0</v>
      </c>
      <c r="BG49" s="264"/>
      <c r="BH49" s="264"/>
    </row>
    <row r="50" spans="1:60" s="207" customFormat="1" hidden="1" x14ac:dyDescent="0.25">
      <c r="A50" s="43"/>
      <c r="B50" s="201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 t="str">
        <f t="shared" si="1"/>
        <v/>
      </c>
      <c r="AI50" s="43" t="str">
        <f t="shared" si="2"/>
        <v/>
      </c>
      <c r="AJ50" s="43" t="str">
        <f t="shared" si="3"/>
        <v/>
      </c>
      <c r="AK50" s="43" t="str">
        <f t="shared" si="11"/>
        <v/>
      </c>
      <c r="AL50" s="43" t="str">
        <f t="shared" si="5"/>
        <v/>
      </c>
      <c r="AM50" s="43" t="str">
        <f t="shared" si="6"/>
        <v/>
      </c>
      <c r="AN50" s="43"/>
      <c r="AO50" s="43" t="str">
        <f t="shared" si="7"/>
        <v/>
      </c>
      <c r="AP50" s="43" t="str">
        <f t="shared" si="8"/>
        <v/>
      </c>
      <c r="AQ50" s="43"/>
      <c r="AR50" s="43"/>
      <c r="AS50" s="43"/>
      <c r="AT50" s="43" t="str">
        <f t="shared" si="9"/>
        <v/>
      </c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>
        <f t="shared" si="10"/>
        <v>0</v>
      </c>
      <c r="BG50" s="264"/>
      <c r="BH50" s="264"/>
    </row>
    <row r="51" spans="1:60" s="207" customFormat="1" hidden="1" x14ac:dyDescent="0.25">
      <c r="A51" s="213"/>
      <c r="B51" s="214"/>
      <c r="C51" s="213"/>
      <c r="D51" s="213"/>
      <c r="E51" s="213"/>
      <c r="F51" s="213"/>
      <c r="G51" s="213"/>
      <c r="H51" s="213"/>
      <c r="I51" s="213"/>
      <c r="J51" s="213"/>
      <c r="K51" s="213"/>
      <c r="L51" s="213"/>
      <c r="M51" s="213"/>
      <c r="N51" s="213"/>
      <c r="O51" s="213"/>
      <c r="P51" s="213"/>
      <c r="Q51" s="213"/>
      <c r="R51" s="213"/>
      <c r="S51" s="213"/>
      <c r="T51" s="213"/>
      <c r="U51" s="213"/>
      <c r="V51" s="213"/>
      <c r="W51" s="213"/>
      <c r="X51" s="213"/>
      <c r="Y51" s="213"/>
      <c r="Z51" s="213"/>
      <c r="AA51" s="213"/>
      <c r="AB51" s="213"/>
      <c r="AC51" s="213"/>
      <c r="AD51" s="213"/>
      <c r="AE51" s="213"/>
      <c r="AF51" s="213"/>
      <c r="AG51" s="213"/>
      <c r="AH51" s="213" t="str">
        <f t="shared" si="1"/>
        <v/>
      </c>
      <c r="AI51" s="213" t="str">
        <f t="shared" si="2"/>
        <v/>
      </c>
      <c r="AJ51" s="213" t="str">
        <f t="shared" si="3"/>
        <v/>
      </c>
      <c r="AK51" s="213" t="str">
        <f t="shared" si="11"/>
        <v/>
      </c>
      <c r="AL51" s="43" t="str">
        <f t="shared" si="5"/>
        <v/>
      </c>
      <c r="AM51" s="213" t="str">
        <f t="shared" si="6"/>
        <v/>
      </c>
      <c r="AN51" s="213"/>
      <c r="AO51" s="213" t="str">
        <f t="shared" si="7"/>
        <v/>
      </c>
      <c r="AP51" s="213" t="str">
        <f t="shared" si="8"/>
        <v/>
      </c>
      <c r="AQ51" s="213"/>
      <c r="AR51" s="213"/>
      <c r="AS51" s="213"/>
      <c r="AT51" s="213" t="str">
        <f t="shared" si="9"/>
        <v/>
      </c>
      <c r="AU51" s="213"/>
      <c r="AV51" s="213"/>
      <c r="AW51" s="213"/>
      <c r="AX51" s="213"/>
      <c r="AY51" s="213"/>
      <c r="AZ51" s="213"/>
      <c r="BA51" s="213"/>
      <c r="BB51" s="213"/>
      <c r="BC51" s="213"/>
      <c r="BD51" s="213"/>
      <c r="BE51" s="213"/>
      <c r="BF51" s="213">
        <f t="shared" si="10"/>
        <v>0</v>
      </c>
      <c r="BG51" s="264"/>
      <c r="BH51" s="264"/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Q51"/>
  <sheetViews>
    <sheetView zoomScale="110" zoomScaleNormal="110" workbookViewId="0">
      <pane xSplit="19" ySplit="5" topLeftCell="T6" activePane="bottomRight" state="frozen"/>
      <selection pane="topRight" activeCell="T1" sqref="T1"/>
      <selection pane="bottomLeft" activeCell="A10" sqref="A10"/>
      <selection pane="bottomRight" activeCell="AU3" sqref="AU3"/>
    </sheetView>
  </sheetViews>
  <sheetFormatPr defaultRowHeight="13.2" x14ac:dyDescent="0.25"/>
  <cols>
    <col min="1" max="1" width="3.6640625" customWidth="1"/>
    <col min="2" max="2" width="42.109375" bestFit="1" customWidth="1"/>
    <col min="3" max="3" width="6.6640625" bestFit="1" customWidth="1"/>
    <col min="4" max="4" width="4.6640625" bestFit="1" customWidth="1"/>
    <col min="5" max="5" width="2.33203125" customWidth="1"/>
    <col min="6" max="6" width="3.33203125" bestFit="1" customWidth="1"/>
    <col min="7" max="7" width="3.5546875" customWidth="1"/>
    <col min="8" max="8" width="2.88671875" customWidth="1"/>
    <col min="9" max="9" width="2.33203125" customWidth="1"/>
    <col min="10" max="10" width="2.88671875" bestFit="1" customWidth="1"/>
    <col min="11" max="13" width="2.5546875" customWidth="1"/>
    <col min="14" max="14" width="2.33203125" customWidth="1"/>
    <col min="15" max="15" width="2.5546875" customWidth="1"/>
    <col min="16" max="16" width="2.88671875" bestFit="1" customWidth="1"/>
    <col min="17" max="17" width="2.5546875" customWidth="1"/>
    <col min="18" max="18" width="2.33203125" customWidth="1"/>
    <col min="19" max="19" width="4.5546875" customWidth="1"/>
    <col min="20" max="22" width="2.5546875" customWidth="1"/>
    <col min="23" max="23" width="2.33203125" customWidth="1"/>
    <col min="24" max="26" width="2.5546875" customWidth="1"/>
    <col min="27" max="33" width="2.5546875" hidden="1" customWidth="1"/>
    <col min="34" max="34" width="3.88671875" customWidth="1"/>
    <col min="35" max="35" width="3.5546875" customWidth="1"/>
    <col min="36" max="36" width="3.33203125" customWidth="1"/>
    <col min="37" max="37" width="4.33203125" customWidth="1"/>
    <col min="38" max="38" width="3.5546875" customWidth="1"/>
    <col min="39" max="39" width="3.88671875" customWidth="1"/>
    <col min="40" max="40" width="3.6640625" customWidth="1"/>
    <col min="41" max="41" width="4.44140625" customWidth="1"/>
    <col min="42" max="42" width="4.33203125" customWidth="1"/>
    <col min="43" max="43" width="3.6640625" customWidth="1"/>
    <col min="44" max="44" width="3.6640625" bestFit="1" customWidth="1"/>
    <col min="45" max="45" width="3.6640625" customWidth="1"/>
    <col min="46" max="46" width="4.88671875" bestFit="1" customWidth="1"/>
    <col min="47" max="47" width="3.44140625" customWidth="1"/>
    <col min="48" max="48" width="3.5546875" customWidth="1"/>
    <col min="49" max="49" width="3.44140625" customWidth="1"/>
    <col min="50" max="50" width="4" customWidth="1"/>
    <col min="51" max="51" width="4" hidden="1" customWidth="1"/>
    <col min="52" max="52" width="4" customWidth="1"/>
    <col min="53" max="54" width="4" hidden="1" customWidth="1"/>
    <col min="55" max="56" width="4" customWidth="1"/>
    <col min="57" max="57" width="3.88671875" customWidth="1"/>
    <col min="58" max="62" width="7.44140625" customWidth="1"/>
  </cols>
  <sheetData>
    <row r="1" spans="1:169" s="27" customFormat="1" x14ac:dyDescent="0.25">
      <c r="A1" s="25"/>
      <c r="B1" s="25"/>
      <c r="C1" s="25"/>
      <c r="D1" s="25"/>
      <c r="E1" s="25"/>
      <c r="F1" s="25"/>
      <c r="G1" s="92" t="s">
        <v>0</v>
      </c>
      <c r="H1" s="92"/>
      <c r="I1" s="92"/>
      <c r="J1" s="92"/>
      <c r="K1" s="92"/>
      <c r="L1" s="28"/>
      <c r="M1" s="28"/>
      <c r="N1" s="28"/>
      <c r="O1" s="28"/>
      <c r="P1" s="1"/>
      <c r="Q1" s="1" t="s">
        <v>224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169" ht="15" customHeight="1" thickBot="1" x14ac:dyDescent="0.4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99"/>
      <c r="BG2" s="99"/>
      <c r="BH2" s="99"/>
      <c r="BI2" s="99"/>
      <c r="BJ2" s="99"/>
    </row>
    <row r="3" spans="1:169" ht="51" customHeight="1" thickBot="1" x14ac:dyDescent="0.3">
      <c r="A3" s="298" t="s">
        <v>1</v>
      </c>
      <c r="B3" s="300" t="s">
        <v>2</v>
      </c>
      <c r="C3" s="302" t="s">
        <v>3</v>
      </c>
      <c r="D3" s="304" t="s">
        <v>77</v>
      </c>
      <c r="E3" s="304" t="s">
        <v>40</v>
      </c>
      <c r="F3" s="304" t="s">
        <v>4</v>
      </c>
      <c r="G3" s="289" t="s">
        <v>5</v>
      </c>
      <c r="H3" s="290"/>
      <c r="I3" s="290"/>
      <c r="J3" s="291"/>
      <c r="K3" s="292" t="s">
        <v>46</v>
      </c>
      <c r="L3" s="293"/>
      <c r="M3" s="293"/>
      <c r="N3" s="293"/>
      <c r="O3" s="293"/>
      <c r="P3" s="293"/>
      <c r="Q3" s="293"/>
      <c r="R3" s="293"/>
      <c r="S3" s="293"/>
      <c r="T3" s="293"/>
      <c r="U3" s="293"/>
      <c r="V3" s="293"/>
      <c r="W3" s="293"/>
      <c r="X3" s="293"/>
      <c r="Y3" s="293"/>
      <c r="Z3" s="293"/>
      <c r="AA3" s="293"/>
      <c r="AB3" s="293"/>
      <c r="AC3" s="293"/>
      <c r="AD3" s="293"/>
      <c r="AE3" s="293"/>
      <c r="AF3" s="293"/>
      <c r="AG3" s="294"/>
      <c r="AH3" s="295" t="s">
        <v>56</v>
      </c>
      <c r="AI3" s="296"/>
      <c r="AJ3" s="297"/>
      <c r="AK3" s="274" t="s">
        <v>6</v>
      </c>
      <c r="AL3" s="274" t="s">
        <v>93</v>
      </c>
      <c r="AM3" s="274" t="s">
        <v>48</v>
      </c>
      <c r="AN3" s="274" t="s">
        <v>49</v>
      </c>
      <c r="AO3" s="274" t="s">
        <v>7</v>
      </c>
      <c r="AP3" s="274" t="s">
        <v>22</v>
      </c>
      <c r="AQ3" s="275" t="s">
        <v>8</v>
      </c>
      <c r="AR3" s="275" t="s">
        <v>57</v>
      </c>
      <c r="AS3" s="275" t="s">
        <v>24</v>
      </c>
      <c r="AT3" s="38" t="s">
        <v>28</v>
      </c>
      <c r="AU3" s="38" t="s">
        <v>29</v>
      </c>
      <c r="AV3" s="275" t="s">
        <v>9</v>
      </c>
      <c r="AW3" s="275" t="s">
        <v>30</v>
      </c>
      <c r="AX3" s="275" t="s">
        <v>33</v>
      </c>
      <c r="AY3" s="275" t="s">
        <v>34</v>
      </c>
      <c r="AZ3" s="275" t="s">
        <v>35</v>
      </c>
      <c r="BA3" s="275" t="s">
        <v>36</v>
      </c>
      <c r="BB3" s="275" t="s">
        <v>37</v>
      </c>
      <c r="BC3" s="39" t="s">
        <v>59</v>
      </c>
      <c r="BD3" s="39" t="s">
        <v>60</v>
      </c>
      <c r="BE3" s="39" t="s">
        <v>62</v>
      </c>
      <c r="BF3" s="135" t="s">
        <v>218</v>
      </c>
      <c r="BG3" s="135"/>
      <c r="BH3" s="135"/>
      <c r="BI3" s="135" t="s">
        <v>219</v>
      </c>
      <c r="BJ3" s="135" t="s">
        <v>220</v>
      </c>
      <c r="BM3" t="s">
        <v>218</v>
      </c>
    </row>
    <row r="4" spans="1:169" ht="91.8" x14ac:dyDescent="0.25">
      <c r="A4" s="299"/>
      <c r="B4" s="301"/>
      <c r="C4" s="303"/>
      <c r="D4" s="305"/>
      <c r="E4" s="305"/>
      <c r="F4" s="305"/>
      <c r="G4" s="273" t="s">
        <v>11</v>
      </c>
      <c r="H4" s="273" t="s">
        <v>12</v>
      </c>
      <c r="I4" s="273" t="s">
        <v>13</v>
      </c>
      <c r="J4" s="16" t="s">
        <v>14</v>
      </c>
      <c r="K4" s="30" t="s">
        <v>43</v>
      </c>
      <c r="L4" s="272" t="s">
        <v>44</v>
      </c>
      <c r="M4" s="31" t="s">
        <v>45</v>
      </c>
      <c r="N4" s="271" t="s">
        <v>47</v>
      </c>
      <c r="O4" s="271" t="s">
        <v>48</v>
      </c>
      <c r="P4" s="271" t="s">
        <v>49</v>
      </c>
      <c r="Q4" s="271" t="s">
        <v>7</v>
      </c>
      <c r="R4" s="271" t="s">
        <v>22</v>
      </c>
      <c r="S4" s="271" t="s">
        <v>50</v>
      </c>
      <c r="T4" s="271" t="s">
        <v>51</v>
      </c>
      <c r="U4" s="271" t="s">
        <v>52</v>
      </c>
      <c r="V4" s="271" t="s">
        <v>53</v>
      </c>
      <c r="W4" s="271" t="s">
        <v>29</v>
      </c>
      <c r="X4" s="271" t="s">
        <v>9</v>
      </c>
      <c r="Y4" s="271" t="s">
        <v>54</v>
      </c>
      <c r="Z4" s="271" t="s">
        <v>55</v>
      </c>
      <c r="AA4" s="271" t="s">
        <v>34</v>
      </c>
      <c r="AB4" s="271" t="s">
        <v>35</v>
      </c>
      <c r="AC4" s="271" t="s">
        <v>36</v>
      </c>
      <c r="AD4" s="271" t="s">
        <v>37</v>
      </c>
      <c r="AE4" s="271" t="s">
        <v>59</v>
      </c>
      <c r="AF4" s="271" t="s">
        <v>60</v>
      </c>
      <c r="AG4" s="15" t="s">
        <v>62</v>
      </c>
      <c r="AH4" s="274" t="s">
        <v>43</v>
      </c>
      <c r="AI4" s="274" t="s">
        <v>44</v>
      </c>
      <c r="AJ4" s="274" t="s">
        <v>45</v>
      </c>
      <c r="AK4" s="274" t="s">
        <v>42</v>
      </c>
      <c r="AL4" s="274" t="s">
        <v>15</v>
      </c>
      <c r="AM4" s="274" t="s">
        <v>16</v>
      </c>
      <c r="AN4" s="274" t="s">
        <v>15</v>
      </c>
      <c r="AO4" s="274" t="s">
        <v>17</v>
      </c>
      <c r="AP4" s="274" t="s">
        <v>18</v>
      </c>
      <c r="AQ4" s="274" t="s">
        <v>23</v>
      </c>
      <c r="AR4" s="274" t="s">
        <v>19</v>
      </c>
      <c r="AS4" s="274" t="s">
        <v>25</v>
      </c>
      <c r="AT4" s="274" t="s">
        <v>92</v>
      </c>
      <c r="AU4" s="274" t="s">
        <v>31</v>
      </c>
      <c r="AV4" s="274" t="s">
        <v>32</v>
      </c>
      <c r="AW4" s="274" t="s">
        <v>27</v>
      </c>
      <c r="AX4" s="274" t="s">
        <v>96</v>
      </c>
      <c r="AY4" s="274" t="s">
        <v>20</v>
      </c>
      <c r="AZ4" s="274" t="s">
        <v>26</v>
      </c>
      <c r="BA4" s="274" t="s">
        <v>20</v>
      </c>
      <c r="BB4" s="274" t="s">
        <v>38</v>
      </c>
      <c r="BC4" s="274" t="s">
        <v>58</v>
      </c>
      <c r="BD4" s="274" t="s">
        <v>61</v>
      </c>
      <c r="BE4" s="274" t="s">
        <v>63</v>
      </c>
      <c r="BF4" s="131" t="s">
        <v>21</v>
      </c>
      <c r="BG4" s="131"/>
      <c r="BH4" s="131"/>
      <c r="BI4" s="131" t="s">
        <v>21</v>
      </c>
      <c r="BJ4" s="131" t="s">
        <v>21</v>
      </c>
      <c r="BM4" t="s">
        <v>21</v>
      </c>
    </row>
    <row r="5" spans="1:169" s="190" customFormat="1" x14ac:dyDescent="0.25">
      <c r="A5" s="20"/>
      <c r="B5" s="21" t="s">
        <v>78</v>
      </c>
      <c r="C5" s="271"/>
      <c r="D5" s="270"/>
      <c r="E5" s="270"/>
      <c r="F5" s="273"/>
      <c r="G5" s="273"/>
      <c r="H5" s="273"/>
      <c r="I5" s="273"/>
      <c r="J5" s="16"/>
      <c r="K5" s="209"/>
      <c r="L5" s="273"/>
      <c r="M5" s="210"/>
      <c r="N5" s="271"/>
      <c r="O5" s="271"/>
      <c r="P5" s="271"/>
      <c r="Q5" s="271"/>
      <c r="R5" s="271"/>
      <c r="S5" s="271"/>
      <c r="T5" s="271"/>
      <c r="U5" s="271"/>
      <c r="V5" s="271"/>
      <c r="W5" s="271"/>
      <c r="X5" s="271"/>
      <c r="Y5" s="271"/>
      <c r="Z5" s="271"/>
      <c r="AA5" s="271"/>
      <c r="AB5" s="271"/>
      <c r="AC5" s="271"/>
      <c r="AD5" s="271"/>
      <c r="AE5" s="271"/>
      <c r="AF5" s="271"/>
      <c r="AG5" s="271"/>
      <c r="AH5" s="271"/>
      <c r="AI5" s="271"/>
      <c r="AJ5" s="271"/>
      <c r="AK5" s="15"/>
      <c r="AL5" s="16"/>
      <c r="AM5" s="271"/>
      <c r="AN5" s="273"/>
      <c r="AO5" s="273"/>
      <c r="AP5" s="273"/>
      <c r="AQ5" s="273"/>
      <c r="AR5" s="273"/>
      <c r="AS5" s="273"/>
      <c r="AT5" s="273"/>
      <c r="AU5" s="273"/>
      <c r="AV5" s="273"/>
      <c r="AW5" s="273"/>
      <c r="AX5" s="273"/>
      <c r="AY5" s="273"/>
      <c r="AZ5" s="273"/>
      <c r="BA5" s="273"/>
      <c r="BB5" s="273"/>
      <c r="BC5" s="273"/>
      <c r="BD5" s="273"/>
      <c r="BE5" s="273"/>
      <c r="BF5" s="67">
        <f>SUM(BF6:BF27)</f>
        <v>0</v>
      </c>
      <c r="BG5" s="67"/>
      <c r="BI5" s="67"/>
      <c r="BJ5" s="67"/>
    </row>
    <row r="6" spans="1:169" s="129" customFormat="1" x14ac:dyDescent="0.25">
      <c r="A6" s="43"/>
      <c r="B6" s="201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 t="str">
        <f>IF(K6&lt;&gt;"",H6*K6,"")</f>
        <v/>
      </c>
      <c r="AI6" s="43" t="str">
        <f>IF(L6&lt;&gt;"",H6*L6,"")</f>
        <v/>
      </c>
      <c r="AJ6" s="43" t="str">
        <f t="shared" ref="AJ6:AJ51" si="0">IF(M6&lt;&gt;"",M6*H6,"")</f>
        <v/>
      </c>
      <c r="AK6" s="43" t="str">
        <f xml:space="preserve"> IF(N6&lt;&gt;"", 0.05*K6+2,"")</f>
        <v/>
      </c>
      <c r="AL6" s="43">
        <f>IF(F6="з",0.15,0.05)*IF(AI6&lt;&gt;"",AI6,0)+2*IF(O6=1,1,0)</f>
        <v>0</v>
      </c>
      <c r="AM6" s="43" t="str">
        <f>IF(O6="+",0.25*G6,IF(O6="+Д",G6*0.33,""))</f>
        <v/>
      </c>
      <c r="AN6" s="43"/>
      <c r="AO6" s="43" t="str">
        <f>IF(Q6&lt;&gt;"",2*G6,"")</f>
        <v/>
      </c>
      <c r="AP6" s="43" t="str">
        <f>IF(R6&lt;&gt;"",3*H6,"")</f>
        <v/>
      </c>
      <c r="AQ6" s="43"/>
      <c r="AR6" s="43"/>
      <c r="AS6" s="43"/>
      <c r="AT6" s="43" t="str">
        <f>IF(V6&lt;&gt;"",0.5*G6,"")</f>
        <v/>
      </c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>
        <f>SUM(AH6:BE6)</f>
        <v>0</v>
      </c>
      <c r="BK6" s="207"/>
      <c r="BL6" s="207"/>
      <c r="BM6" s="207">
        <v>55.699999999999996</v>
      </c>
      <c r="BN6" s="207"/>
      <c r="BO6" s="207"/>
      <c r="BP6" s="207"/>
      <c r="BQ6" s="207"/>
      <c r="BR6" s="207"/>
      <c r="BS6" s="207"/>
      <c r="BT6" s="207"/>
      <c r="BU6" s="207"/>
      <c r="BV6" s="207"/>
      <c r="BW6" s="207"/>
      <c r="BX6" s="207"/>
      <c r="BY6" s="207"/>
      <c r="BZ6" s="207"/>
      <c r="CA6" s="207"/>
      <c r="CB6" s="207"/>
      <c r="CC6" s="207"/>
      <c r="CD6" s="207"/>
      <c r="CE6" s="207"/>
      <c r="CF6" s="207"/>
      <c r="CG6" s="207"/>
      <c r="CH6" s="207"/>
      <c r="CI6" s="207"/>
      <c r="CJ6" s="207"/>
      <c r="CK6" s="207"/>
      <c r="CL6" s="207"/>
      <c r="CM6" s="207"/>
      <c r="CN6" s="207"/>
      <c r="CO6" s="207"/>
      <c r="CP6" s="207"/>
      <c r="CQ6" s="207"/>
      <c r="CR6" s="207"/>
      <c r="CS6" s="207"/>
      <c r="CT6" s="207"/>
      <c r="CU6" s="207"/>
      <c r="CV6" s="207"/>
      <c r="CW6" s="207"/>
      <c r="CX6" s="207"/>
      <c r="CY6" s="207"/>
      <c r="CZ6" s="207"/>
      <c r="DA6" s="207"/>
      <c r="DB6" s="207"/>
      <c r="DC6" s="207"/>
      <c r="DD6" s="207"/>
      <c r="DE6" s="207"/>
      <c r="DF6" s="207"/>
      <c r="DG6" s="207"/>
      <c r="DH6" s="207"/>
      <c r="DI6" s="207"/>
      <c r="DJ6" s="207"/>
      <c r="DK6" s="207"/>
      <c r="DL6" s="207"/>
      <c r="DM6" s="207"/>
      <c r="DN6" s="207"/>
      <c r="DO6" s="207"/>
      <c r="DP6" s="207"/>
      <c r="DQ6" s="207"/>
      <c r="DR6" s="207"/>
      <c r="DS6" s="207"/>
      <c r="DT6" s="207"/>
      <c r="DU6" s="207"/>
      <c r="DV6" s="207"/>
      <c r="DW6" s="207"/>
      <c r="DX6" s="207"/>
      <c r="DY6" s="207"/>
      <c r="DZ6" s="207"/>
      <c r="EA6" s="207"/>
      <c r="EB6" s="207"/>
      <c r="EC6" s="207"/>
      <c r="ED6" s="207"/>
      <c r="EE6" s="207"/>
      <c r="EF6" s="207"/>
      <c r="EG6" s="207"/>
      <c r="EH6" s="207"/>
      <c r="EI6" s="207"/>
      <c r="EJ6" s="207"/>
      <c r="EK6" s="207"/>
      <c r="EL6" s="207"/>
      <c r="EM6" s="207"/>
      <c r="EN6" s="207"/>
      <c r="EO6" s="207"/>
      <c r="EP6" s="207"/>
      <c r="EQ6" s="207"/>
      <c r="ER6" s="207"/>
      <c r="ES6" s="207"/>
      <c r="ET6" s="207"/>
      <c r="EU6" s="207"/>
      <c r="EV6" s="207"/>
      <c r="EW6" s="207"/>
      <c r="EX6" s="207"/>
      <c r="EY6" s="207"/>
      <c r="EZ6" s="207"/>
      <c r="FA6" s="207"/>
      <c r="FB6" s="207"/>
      <c r="FC6" s="207"/>
      <c r="FD6" s="207"/>
      <c r="FE6" s="207"/>
      <c r="FF6" s="207"/>
      <c r="FG6" s="207"/>
      <c r="FH6" s="207"/>
      <c r="FI6" s="207"/>
      <c r="FJ6" s="207"/>
      <c r="FK6" s="207"/>
      <c r="FL6" s="207"/>
      <c r="FM6" s="207"/>
    </row>
    <row r="7" spans="1:169" s="207" customFormat="1" x14ac:dyDescent="0.25">
      <c r="A7" s="43"/>
      <c r="B7" s="201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 t="str">
        <f t="shared" ref="AH7:AH51" si="1">IF(K7&lt;&gt;"",H7*K7,"")</f>
        <v/>
      </c>
      <c r="AI7" s="43" t="str">
        <f t="shared" ref="AI7:AI51" si="2">IF(L7&lt;&gt;"",H7*L7,"")</f>
        <v/>
      </c>
      <c r="AJ7" s="43" t="str">
        <f t="shared" si="0"/>
        <v/>
      </c>
      <c r="AK7" s="43" t="str">
        <f t="shared" ref="AK7:AK51" si="3" xml:space="preserve"> IF(N7&lt;&gt;"", 0.05*K7+2,"")</f>
        <v/>
      </c>
      <c r="AL7" s="43">
        <f t="shared" ref="AL7:AL47" si="4">IF(F7="з",0.15,0.05)*IF(AI7&lt;&gt;"",AI7,0)+2*IF(O7=1,1,0)</f>
        <v>0</v>
      </c>
      <c r="AM7" s="43" t="str">
        <f t="shared" ref="AM7:AM51" si="5">IF(O7="+",0.25*G7,IF(O7="+Д",G7*0.33,""))</f>
        <v/>
      </c>
      <c r="AN7" s="43"/>
      <c r="AO7" s="43" t="str">
        <f t="shared" ref="AO7:AO51" si="6">IF(Q7&lt;&gt;"",2*G7,"")</f>
        <v/>
      </c>
      <c r="AP7" s="43" t="str">
        <f t="shared" ref="AP7:AP51" si="7">IF(R7&lt;&gt;"",3*H7,"")</f>
        <v/>
      </c>
      <c r="AQ7" s="43"/>
      <c r="AR7" s="43"/>
      <c r="AS7" s="43"/>
      <c r="AT7" s="43" t="str">
        <f t="shared" ref="AT7:AT51" si="8">IF(V7&lt;&gt;"",0.5*G7,"")</f>
        <v/>
      </c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>
        <f t="shared" ref="BF7:BF51" si="9">SUM(AH7:BE7)</f>
        <v>0</v>
      </c>
      <c r="BG7" s="129"/>
      <c r="BH7" s="129"/>
      <c r="BJ7" s="129"/>
      <c r="BM7" s="129">
        <v>107.7</v>
      </c>
    </row>
    <row r="8" spans="1:169" s="207" customFormat="1" x14ac:dyDescent="0.25">
      <c r="A8" s="43"/>
      <c r="B8" s="201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 t="str">
        <f t="shared" si="1"/>
        <v/>
      </c>
      <c r="AI8" s="43" t="str">
        <f t="shared" si="2"/>
        <v/>
      </c>
      <c r="AJ8" s="43" t="str">
        <f t="shared" si="0"/>
        <v/>
      </c>
      <c r="AK8" s="43" t="str">
        <f t="shared" si="3"/>
        <v/>
      </c>
      <c r="AL8" s="43">
        <f t="shared" si="4"/>
        <v>0</v>
      </c>
      <c r="AM8" s="43" t="str">
        <f t="shared" si="5"/>
        <v/>
      </c>
      <c r="AN8" s="43"/>
      <c r="AO8" s="43" t="str">
        <f t="shared" si="6"/>
        <v/>
      </c>
      <c r="AP8" s="43" t="str">
        <f t="shared" si="7"/>
        <v/>
      </c>
      <c r="AQ8" s="43"/>
      <c r="AR8" s="43"/>
      <c r="AS8" s="43"/>
      <c r="AT8" s="43" t="str">
        <f t="shared" si="8"/>
        <v/>
      </c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>
        <f t="shared" si="9"/>
        <v>0</v>
      </c>
      <c r="BG8" s="129"/>
      <c r="BH8" s="129"/>
      <c r="BM8" s="129">
        <v>93.100000000000009</v>
      </c>
    </row>
    <row r="9" spans="1:169" s="207" customFormat="1" x14ac:dyDescent="0.25">
      <c r="A9" s="43"/>
      <c r="B9" s="201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 t="str">
        <f t="shared" si="1"/>
        <v/>
      </c>
      <c r="AI9" s="43" t="str">
        <f t="shared" si="2"/>
        <v/>
      </c>
      <c r="AJ9" s="43" t="str">
        <f t="shared" si="0"/>
        <v/>
      </c>
      <c r="AK9" s="43" t="str">
        <f t="shared" si="3"/>
        <v/>
      </c>
      <c r="AL9" s="43">
        <f t="shared" si="4"/>
        <v>0</v>
      </c>
      <c r="AM9" s="43" t="str">
        <f t="shared" si="5"/>
        <v/>
      </c>
      <c r="AN9" s="43"/>
      <c r="AO9" s="43" t="str">
        <f t="shared" si="6"/>
        <v/>
      </c>
      <c r="AP9" s="43" t="str">
        <f t="shared" si="7"/>
        <v/>
      </c>
      <c r="AQ9" s="43"/>
      <c r="AR9" s="43"/>
      <c r="AS9" s="43"/>
      <c r="AT9" s="43" t="str">
        <f t="shared" si="8"/>
        <v/>
      </c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>
        <f t="shared" si="9"/>
        <v>0</v>
      </c>
      <c r="BG9" s="129"/>
      <c r="BH9" s="129"/>
      <c r="BL9" s="129"/>
      <c r="BM9" s="129">
        <v>76.100000000000009</v>
      </c>
      <c r="BN9" s="129"/>
      <c r="BO9" s="129"/>
    </row>
    <row r="10" spans="1:169" s="207" customFormat="1" x14ac:dyDescent="0.25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 t="str">
        <f t="shared" si="1"/>
        <v/>
      </c>
      <c r="AI10" s="43" t="str">
        <f t="shared" si="2"/>
        <v/>
      </c>
      <c r="AJ10" s="43" t="str">
        <f t="shared" si="0"/>
        <v/>
      </c>
      <c r="AK10" s="43" t="str">
        <f t="shared" si="3"/>
        <v/>
      </c>
      <c r="AL10" s="43">
        <f t="shared" si="4"/>
        <v>0</v>
      </c>
      <c r="AM10" s="43" t="str">
        <f t="shared" si="5"/>
        <v/>
      </c>
      <c r="AN10" s="43"/>
      <c r="AO10" s="43" t="str">
        <f t="shared" si="6"/>
        <v/>
      </c>
      <c r="AP10" s="43" t="str">
        <f t="shared" si="7"/>
        <v/>
      </c>
      <c r="AQ10" s="43"/>
      <c r="AR10" s="43"/>
      <c r="AS10" s="43"/>
      <c r="AT10" s="43" t="str">
        <f t="shared" si="8"/>
        <v/>
      </c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>
        <f t="shared" si="9"/>
        <v>0</v>
      </c>
      <c r="BG10" s="129"/>
      <c r="BH10" s="129"/>
      <c r="BL10" s="129"/>
      <c r="BM10" s="129">
        <v>70.7</v>
      </c>
      <c r="BN10" s="129"/>
      <c r="BO10" s="129"/>
    </row>
    <row r="11" spans="1:169" s="129" customFormat="1" ht="12.75" customHeight="1" x14ac:dyDescent="0.25">
      <c r="A11" s="43"/>
      <c r="B11" s="201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 t="str">
        <f t="shared" si="1"/>
        <v/>
      </c>
      <c r="AI11" s="43" t="str">
        <f t="shared" si="2"/>
        <v/>
      </c>
      <c r="AJ11" s="43" t="str">
        <f t="shared" si="0"/>
        <v/>
      </c>
      <c r="AK11" s="43" t="str">
        <f t="shared" si="3"/>
        <v/>
      </c>
      <c r="AL11" s="43">
        <f t="shared" si="4"/>
        <v>0</v>
      </c>
      <c r="AM11" s="43" t="str">
        <f t="shared" si="5"/>
        <v/>
      </c>
      <c r="AN11" s="43"/>
      <c r="AO11" s="43" t="str">
        <f t="shared" si="6"/>
        <v/>
      </c>
      <c r="AP11" s="43" t="str">
        <f t="shared" si="7"/>
        <v/>
      </c>
      <c r="AQ11" s="43"/>
      <c r="AR11" s="43"/>
      <c r="AS11" s="43"/>
      <c r="AT11" s="43" t="str">
        <f t="shared" si="8"/>
        <v/>
      </c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>
        <f t="shared" si="9"/>
        <v>0</v>
      </c>
      <c r="BH11" s="252"/>
      <c r="BI11" s="252"/>
      <c r="BJ11" s="252"/>
      <c r="BK11" s="252"/>
      <c r="BM11" s="129">
        <v>77.7</v>
      </c>
    </row>
    <row r="12" spans="1:169" s="207" customFormat="1" x14ac:dyDescent="0.25">
      <c r="A12" s="43"/>
      <c r="B12" s="201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 t="str">
        <f t="shared" si="1"/>
        <v/>
      </c>
      <c r="AI12" s="43" t="str">
        <f t="shared" si="2"/>
        <v/>
      </c>
      <c r="AJ12" s="43" t="str">
        <f t="shared" si="0"/>
        <v/>
      </c>
      <c r="AK12" s="43" t="str">
        <f t="shared" si="3"/>
        <v/>
      </c>
      <c r="AL12" s="43">
        <f t="shared" si="4"/>
        <v>0</v>
      </c>
      <c r="AM12" s="43" t="str">
        <f t="shared" si="5"/>
        <v/>
      </c>
      <c r="AN12" s="43"/>
      <c r="AO12" s="43" t="str">
        <f t="shared" si="6"/>
        <v/>
      </c>
      <c r="AP12" s="43" t="str">
        <f t="shared" si="7"/>
        <v/>
      </c>
      <c r="AQ12" s="43"/>
      <c r="AR12" s="43"/>
      <c r="AS12" s="43"/>
      <c r="AT12" s="43" t="str">
        <f t="shared" si="8"/>
        <v/>
      </c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>
        <f t="shared" si="9"/>
        <v>0</v>
      </c>
      <c r="BG12" s="129"/>
      <c r="BH12" s="129"/>
      <c r="BL12" s="129"/>
      <c r="BM12" s="129">
        <f>SUM(BM6:BM11)</f>
        <v>481</v>
      </c>
      <c r="BN12" s="129"/>
      <c r="BO12" s="129"/>
    </row>
    <row r="13" spans="1:169" s="207" customFormat="1" x14ac:dyDescent="0.25">
      <c r="A13" s="43"/>
      <c r="B13" s="201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 t="str">
        <f t="shared" si="1"/>
        <v/>
      </c>
      <c r="AI13" s="43" t="str">
        <f t="shared" si="2"/>
        <v/>
      </c>
      <c r="AJ13" s="43" t="str">
        <f t="shared" si="0"/>
        <v/>
      </c>
      <c r="AK13" s="43" t="str">
        <f t="shared" si="3"/>
        <v/>
      </c>
      <c r="AL13" s="43">
        <f t="shared" si="4"/>
        <v>0</v>
      </c>
      <c r="AM13" s="43" t="str">
        <f t="shared" si="5"/>
        <v/>
      </c>
      <c r="AN13" s="43"/>
      <c r="AO13" s="43" t="str">
        <f t="shared" si="6"/>
        <v/>
      </c>
      <c r="AP13" s="43" t="str">
        <f t="shared" si="7"/>
        <v/>
      </c>
      <c r="AQ13" s="43"/>
      <c r="AR13" s="43"/>
      <c r="AS13" s="43"/>
      <c r="AT13" s="43" t="str">
        <f t="shared" si="8"/>
        <v/>
      </c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>
        <f t="shared" si="9"/>
        <v>0</v>
      </c>
      <c r="BG13" s="129"/>
      <c r="BH13" s="129"/>
      <c r="BL13" s="129"/>
      <c r="BN13" s="129"/>
      <c r="BO13" s="129"/>
    </row>
    <row r="14" spans="1:169" s="207" customFormat="1" x14ac:dyDescent="0.25">
      <c r="A14" s="43"/>
      <c r="B14" s="201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 t="str">
        <f t="shared" si="1"/>
        <v/>
      </c>
      <c r="AI14" s="43" t="str">
        <f t="shared" si="2"/>
        <v/>
      </c>
      <c r="AJ14" s="43" t="str">
        <f t="shared" si="0"/>
        <v/>
      </c>
      <c r="AK14" s="43" t="str">
        <f t="shared" si="3"/>
        <v/>
      </c>
      <c r="AL14" s="43">
        <f t="shared" si="4"/>
        <v>0</v>
      </c>
      <c r="AM14" s="43" t="str">
        <f t="shared" si="5"/>
        <v/>
      </c>
      <c r="AN14" s="43"/>
      <c r="AO14" s="43" t="str">
        <f t="shared" si="6"/>
        <v/>
      </c>
      <c r="AP14" s="43" t="str">
        <f t="shared" si="7"/>
        <v/>
      </c>
      <c r="AQ14" s="43"/>
      <c r="AR14" s="43"/>
      <c r="AS14" s="43"/>
      <c r="AT14" s="43" t="str">
        <f t="shared" si="8"/>
        <v/>
      </c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>
        <f t="shared" si="9"/>
        <v>0</v>
      </c>
      <c r="BG14" s="129"/>
      <c r="BH14" s="129"/>
      <c r="BL14" s="129"/>
      <c r="BN14" s="129"/>
      <c r="BO14" s="129"/>
    </row>
    <row r="15" spans="1:169" s="207" customFormat="1" x14ac:dyDescent="0.25">
      <c r="A15" s="43"/>
      <c r="B15" s="201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 t="str">
        <f t="shared" si="1"/>
        <v/>
      </c>
      <c r="AI15" s="43" t="str">
        <f t="shared" si="2"/>
        <v/>
      </c>
      <c r="AJ15" s="43" t="str">
        <f t="shared" si="0"/>
        <v/>
      </c>
      <c r="AK15" s="43" t="str">
        <f t="shared" si="3"/>
        <v/>
      </c>
      <c r="AL15" s="43">
        <f t="shared" si="4"/>
        <v>0</v>
      </c>
      <c r="AM15" s="43" t="str">
        <f t="shared" si="5"/>
        <v/>
      </c>
      <c r="AN15" s="43"/>
      <c r="AO15" s="43" t="str">
        <f t="shared" si="6"/>
        <v/>
      </c>
      <c r="AP15" s="43" t="str">
        <f t="shared" si="7"/>
        <v/>
      </c>
      <c r="AQ15" s="43"/>
      <c r="AR15" s="43"/>
      <c r="AS15" s="43"/>
      <c r="AT15" s="43" t="str">
        <f t="shared" si="8"/>
        <v/>
      </c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>
        <f t="shared" si="9"/>
        <v>0</v>
      </c>
      <c r="BG15" s="129"/>
      <c r="BH15" s="129"/>
      <c r="BL15" s="129"/>
      <c r="BM15" s="129"/>
      <c r="BN15" s="129"/>
      <c r="BO15" s="129"/>
    </row>
    <row r="16" spans="1:169" s="207" customFormat="1" x14ac:dyDescent="0.25">
      <c r="A16" s="43"/>
      <c r="B16" s="201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 t="str">
        <f t="shared" si="1"/>
        <v/>
      </c>
      <c r="AI16" s="43" t="str">
        <f t="shared" si="2"/>
        <v/>
      </c>
      <c r="AJ16" s="43" t="str">
        <f t="shared" si="0"/>
        <v/>
      </c>
      <c r="AK16" s="43" t="str">
        <f t="shared" si="3"/>
        <v/>
      </c>
      <c r="AL16" s="43">
        <f t="shared" si="4"/>
        <v>0</v>
      </c>
      <c r="AM16" s="43" t="str">
        <f t="shared" si="5"/>
        <v/>
      </c>
      <c r="AN16" s="43"/>
      <c r="AO16" s="43" t="str">
        <f t="shared" si="6"/>
        <v/>
      </c>
      <c r="AP16" s="43" t="str">
        <f t="shared" si="7"/>
        <v/>
      </c>
      <c r="AQ16" s="43"/>
      <c r="AR16" s="43"/>
      <c r="AS16" s="43"/>
      <c r="AT16" s="43" t="str">
        <f t="shared" si="8"/>
        <v/>
      </c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>
        <f t="shared" si="9"/>
        <v>0</v>
      </c>
      <c r="BG16" s="129"/>
      <c r="BH16" s="129"/>
      <c r="BL16" s="129"/>
      <c r="BM16" s="129"/>
      <c r="BN16" s="129"/>
      <c r="BO16" s="129"/>
    </row>
    <row r="17" spans="1:251" s="207" customFormat="1" x14ac:dyDescent="0.25">
      <c r="A17" s="43"/>
      <c r="B17" s="201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 t="str">
        <f t="shared" si="1"/>
        <v/>
      </c>
      <c r="AI17" s="43" t="str">
        <f t="shared" si="2"/>
        <v/>
      </c>
      <c r="AJ17" s="43" t="str">
        <f t="shared" si="0"/>
        <v/>
      </c>
      <c r="AK17" s="43" t="str">
        <f t="shared" si="3"/>
        <v/>
      </c>
      <c r="AL17" s="43">
        <f t="shared" si="4"/>
        <v>0</v>
      </c>
      <c r="AM17" s="43" t="str">
        <f t="shared" si="5"/>
        <v/>
      </c>
      <c r="AN17" s="43"/>
      <c r="AO17" s="43" t="str">
        <f t="shared" si="6"/>
        <v/>
      </c>
      <c r="AP17" s="43" t="str">
        <f t="shared" si="7"/>
        <v/>
      </c>
      <c r="AQ17" s="43"/>
      <c r="AR17" s="43"/>
      <c r="AS17" s="43"/>
      <c r="AT17" s="43" t="str">
        <f t="shared" si="8"/>
        <v/>
      </c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>
        <f t="shared" si="9"/>
        <v>0</v>
      </c>
      <c r="BG17" s="129"/>
      <c r="BH17" s="129"/>
      <c r="BL17" s="129"/>
      <c r="BM17" s="129"/>
      <c r="BN17" s="129"/>
      <c r="BO17" s="129"/>
    </row>
    <row r="18" spans="1:251" s="207" customFormat="1" x14ac:dyDescent="0.25">
      <c r="A18" s="43"/>
      <c r="B18" s="201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 t="str">
        <f t="shared" si="1"/>
        <v/>
      </c>
      <c r="AI18" s="43" t="str">
        <f t="shared" si="2"/>
        <v/>
      </c>
      <c r="AJ18" s="43" t="str">
        <f t="shared" si="0"/>
        <v/>
      </c>
      <c r="AK18" s="43" t="str">
        <f t="shared" si="3"/>
        <v/>
      </c>
      <c r="AL18" s="43">
        <f t="shared" si="4"/>
        <v>0</v>
      </c>
      <c r="AM18" s="43" t="str">
        <f t="shared" si="5"/>
        <v/>
      </c>
      <c r="AN18" s="43"/>
      <c r="AO18" s="43" t="str">
        <f t="shared" si="6"/>
        <v/>
      </c>
      <c r="AP18" s="43" t="str">
        <f t="shared" si="7"/>
        <v/>
      </c>
      <c r="AQ18" s="43"/>
      <c r="AR18" s="43"/>
      <c r="AS18" s="43"/>
      <c r="AT18" s="43" t="str">
        <f t="shared" si="8"/>
        <v/>
      </c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>
        <f t="shared" si="9"/>
        <v>0</v>
      </c>
      <c r="BG18" s="129"/>
      <c r="BH18" s="129"/>
      <c r="BK18" s="129"/>
      <c r="BL18" s="129"/>
      <c r="BM18" s="129"/>
      <c r="BN18" s="129"/>
      <c r="BO18" s="129"/>
    </row>
    <row r="19" spans="1:251" s="207" customFormat="1" x14ac:dyDescent="0.25">
      <c r="A19" s="43"/>
      <c r="B19" s="201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 t="str">
        <f t="shared" si="1"/>
        <v/>
      </c>
      <c r="AI19" s="43" t="str">
        <f t="shared" si="2"/>
        <v/>
      </c>
      <c r="AJ19" s="43" t="str">
        <f t="shared" si="0"/>
        <v/>
      </c>
      <c r="AK19" s="43" t="str">
        <f t="shared" si="3"/>
        <v/>
      </c>
      <c r="AL19" s="43">
        <f t="shared" si="4"/>
        <v>0</v>
      </c>
      <c r="AM19" s="43" t="str">
        <f t="shared" si="5"/>
        <v/>
      </c>
      <c r="AN19" s="43"/>
      <c r="AO19" s="43" t="str">
        <f t="shared" si="6"/>
        <v/>
      </c>
      <c r="AP19" s="43" t="str">
        <f t="shared" si="7"/>
        <v/>
      </c>
      <c r="AQ19" s="43"/>
      <c r="AR19" s="43"/>
      <c r="AS19" s="43"/>
      <c r="AT19" s="43" t="str">
        <f t="shared" si="8"/>
        <v/>
      </c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>
        <f t="shared" si="9"/>
        <v>0</v>
      </c>
      <c r="BG19" s="129"/>
      <c r="BH19" s="129"/>
      <c r="BI19" s="129"/>
    </row>
    <row r="20" spans="1:251" s="207" customFormat="1" x14ac:dyDescent="0.25">
      <c r="A20" s="43"/>
      <c r="B20" s="201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 t="str">
        <f t="shared" si="1"/>
        <v/>
      </c>
      <c r="AI20" s="43" t="str">
        <f t="shared" si="2"/>
        <v/>
      </c>
      <c r="AJ20" s="43" t="str">
        <f t="shared" si="0"/>
        <v/>
      </c>
      <c r="AK20" s="43" t="str">
        <f t="shared" si="3"/>
        <v/>
      </c>
      <c r="AL20" s="43">
        <f t="shared" si="4"/>
        <v>0</v>
      </c>
      <c r="AM20" s="43" t="str">
        <f t="shared" si="5"/>
        <v/>
      </c>
      <c r="AN20" s="43"/>
      <c r="AO20" s="43" t="str">
        <f t="shared" si="6"/>
        <v/>
      </c>
      <c r="AP20" s="43" t="str">
        <f t="shared" si="7"/>
        <v/>
      </c>
      <c r="AQ20" s="43"/>
      <c r="AR20" s="43"/>
      <c r="AS20" s="43"/>
      <c r="AT20" s="43" t="str">
        <f t="shared" si="8"/>
        <v/>
      </c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>
        <f t="shared" si="9"/>
        <v>0</v>
      </c>
      <c r="BG20" s="263"/>
      <c r="BH20" s="263"/>
      <c r="BP20" s="252"/>
      <c r="BQ20" s="129"/>
      <c r="BR20" s="129"/>
      <c r="BS20" s="129"/>
      <c r="BT20" s="129"/>
      <c r="BU20" s="129"/>
      <c r="BV20" s="129"/>
      <c r="BW20" s="129"/>
      <c r="BX20" s="129"/>
      <c r="BY20" s="129"/>
      <c r="BZ20" s="129"/>
      <c r="CA20" s="129"/>
      <c r="CB20" s="129"/>
      <c r="CC20" s="129"/>
      <c r="CD20" s="129"/>
      <c r="CE20" s="129"/>
      <c r="CF20" s="129"/>
      <c r="CG20" s="129"/>
      <c r="CH20" s="129"/>
      <c r="CI20" s="129"/>
      <c r="CJ20" s="129"/>
      <c r="CK20" s="129"/>
      <c r="CL20" s="129"/>
      <c r="CM20" s="129"/>
      <c r="CN20" s="129"/>
      <c r="CO20" s="129"/>
      <c r="CP20" s="129"/>
      <c r="CQ20" s="129"/>
      <c r="CR20" s="129"/>
      <c r="CS20" s="129"/>
      <c r="CT20" s="129"/>
      <c r="CU20" s="129"/>
      <c r="CV20" s="129"/>
      <c r="CW20" s="129"/>
      <c r="CX20" s="129"/>
      <c r="CY20" s="129"/>
      <c r="CZ20" s="129"/>
      <c r="DA20" s="129"/>
      <c r="DB20" s="129"/>
      <c r="DC20" s="129"/>
      <c r="DD20" s="129"/>
      <c r="DE20" s="129"/>
      <c r="DF20" s="129"/>
      <c r="DG20" s="129"/>
      <c r="DH20" s="129"/>
      <c r="DI20" s="129"/>
      <c r="DJ20" s="129"/>
      <c r="DK20" s="129"/>
      <c r="DL20" s="129"/>
      <c r="DM20" s="129"/>
      <c r="DN20" s="129"/>
      <c r="DO20" s="129"/>
      <c r="DP20" s="129"/>
      <c r="DQ20" s="129"/>
      <c r="DR20" s="129"/>
      <c r="DS20" s="129"/>
      <c r="DT20" s="129"/>
      <c r="DU20" s="129"/>
      <c r="DV20" s="129"/>
      <c r="DW20" s="129"/>
      <c r="DX20" s="129"/>
      <c r="DY20" s="129"/>
      <c r="DZ20" s="129"/>
      <c r="EA20" s="129"/>
      <c r="EB20" s="129"/>
      <c r="EC20" s="129"/>
      <c r="ED20" s="129"/>
      <c r="EE20" s="129"/>
      <c r="EF20" s="129"/>
      <c r="EG20" s="129"/>
      <c r="EH20" s="129"/>
      <c r="EI20" s="129"/>
      <c r="EJ20" s="129"/>
      <c r="EK20" s="129"/>
      <c r="EL20" s="129"/>
      <c r="EM20" s="129"/>
      <c r="EN20" s="129"/>
      <c r="EO20" s="129"/>
      <c r="EP20" s="129"/>
      <c r="EQ20" s="129"/>
      <c r="ER20" s="129"/>
      <c r="ES20" s="129"/>
      <c r="ET20" s="129"/>
      <c r="EU20" s="129"/>
      <c r="EV20" s="129"/>
      <c r="EW20" s="129"/>
      <c r="EX20" s="129"/>
      <c r="EY20" s="129"/>
      <c r="EZ20" s="129"/>
      <c r="FA20" s="129"/>
      <c r="FB20" s="129"/>
      <c r="FC20" s="129"/>
      <c r="FD20" s="129"/>
      <c r="FE20" s="129"/>
      <c r="FF20" s="129"/>
      <c r="FG20" s="129"/>
      <c r="FH20" s="129"/>
      <c r="FI20" s="129"/>
      <c r="FJ20" s="129"/>
      <c r="FK20" s="129"/>
      <c r="FL20" s="129"/>
      <c r="FM20" s="129"/>
      <c r="FN20" s="129"/>
      <c r="FO20" s="129"/>
      <c r="FP20" s="129"/>
      <c r="FQ20" s="129"/>
      <c r="FR20" s="129"/>
      <c r="FS20" s="129"/>
      <c r="FT20" s="129"/>
      <c r="FU20" s="129"/>
      <c r="FV20" s="129"/>
      <c r="FW20" s="129"/>
      <c r="FX20" s="129"/>
      <c r="FY20" s="129"/>
      <c r="FZ20" s="129"/>
      <c r="GA20" s="129"/>
      <c r="GB20" s="129"/>
      <c r="GC20" s="129"/>
      <c r="GD20" s="129"/>
      <c r="GE20" s="129"/>
      <c r="GF20" s="129"/>
      <c r="GG20" s="129"/>
      <c r="GH20" s="129"/>
      <c r="GI20" s="129"/>
      <c r="GJ20" s="129"/>
      <c r="GK20" s="129"/>
      <c r="GL20" s="129"/>
      <c r="GM20" s="129"/>
      <c r="GN20" s="129"/>
      <c r="GO20" s="129"/>
      <c r="GP20" s="129"/>
      <c r="GQ20" s="129"/>
      <c r="GR20" s="129"/>
      <c r="GS20" s="129"/>
      <c r="GT20" s="129"/>
      <c r="GU20" s="129"/>
      <c r="GV20" s="129"/>
      <c r="GW20" s="129"/>
      <c r="GX20" s="129"/>
      <c r="GY20" s="129"/>
      <c r="GZ20" s="129"/>
      <c r="HA20" s="129"/>
      <c r="HB20" s="129"/>
      <c r="HC20" s="129"/>
      <c r="HD20" s="129"/>
      <c r="HE20" s="129"/>
      <c r="HF20" s="129"/>
      <c r="HG20" s="129"/>
      <c r="HH20" s="129"/>
      <c r="HI20" s="129"/>
      <c r="HJ20" s="129"/>
      <c r="HK20" s="129"/>
      <c r="HL20" s="129"/>
      <c r="HM20" s="129"/>
      <c r="HN20" s="129"/>
      <c r="HO20" s="129"/>
      <c r="HP20" s="129"/>
      <c r="HQ20" s="129"/>
      <c r="HR20" s="129"/>
      <c r="HS20" s="129"/>
      <c r="HT20" s="129"/>
      <c r="HU20" s="129"/>
      <c r="HV20" s="129"/>
      <c r="HW20" s="129"/>
      <c r="HX20" s="129"/>
      <c r="HY20" s="129"/>
      <c r="HZ20" s="129"/>
      <c r="IA20" s="129"/>
      <c r="IB20" s="129"/>
      <c r="IC20" s="129"/>
      <c r="ID20" s="129"/>
      <c r="IE20" s="129"/>
      <c r="IF20" s="129"/>
      <c r="IG20" s="129"/>
      <c r="IH20" s="129"/>
      <c r="II20" s="129"/>
      <c r="IJ20" s="129"/>
      <c r="IK20" s="129"/>
      <c r="IL20" s="129"/>
      <c r="IM20" s="129"/>
      <c r="IN20" s="129"/>
      <c r="IO20" s="129"/>
      <c r="IP20" s="129"/>
      <c r="IQ20" s="129"/>
    </row>
    <row r="21" spans="1:251" s="207" customFormat="1" x14ac:dyDescent="0.25">
      <c r="A21" s="43"/>
      <c r="B21" s="201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 t="str">
        <f t="shared" si="1"/>
        <v/>
      </c>
      <c r="AI21" s="43" t="str">
        <f t="shared" si="2"/>
        <v/>
      </c>
      <c r="AJ21" s="43" t="str">
        <f t="shared" si="0"/>
        <v/>
      </c>
      <c r="AK21" s="43" t="str">
        <f t="shared" si="3"/>
        <v/>
      </c>
      <c r="AL21" s="43">
        <f t="shared" si="4"/>
        <v>0</v>
      </c>
      <c r="AM21" s="43" t="str">
        <f t="shared" si="5"/>
        <v/>
      </c>
      <c r="AN21" s="43"/>
      <c r="AO21" s="43" t="str">
        <f t="shared" si="6"/>
        <v/>
      </c>
      <c r="AP21" s="43" t="str">
        <f t="shared" si="7"/>
        <v/>
      </c>
      <c r="AQ21" s="43"/>
      <c r="AR21" s="43"/>
      <c r="AS21" s="43"/>
      <c r="AT21" s="43" t="str">
        <f t="shared" si="8"/>
        <v/>
      </c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>
        <f t="shared" si="9"/>
        <v>0</v>
      </c>
      <c r="BG21" s="263"/>
      <c r="BH21" s="263"/>
      <c r="BP21" s="252"/>
      <c r="BQ21" s="129"/>
      <c r="BR21" s="129"/>
      <c r="BS21" s="129"/>
      <c r="BT21" s="129"/>
      <c r="BU21" s="129"/>
      <c r="BV21" s="129"/>
      <c r="BW21" s="129"/>
      <c r="BX21" s="129"/>
      <c r="BY21" s="129"/>
      <c r="BZ21" s="129"/>
      <c r="CA21" s="129"/>
      <c r="CB21" s="129"/>
      <c r="CC21" s="129"/>
      <c r="CD21" s="129"/>
      <c r="CE21" s="129"/>
      <c r="CF21" s="129"/>
      <c r="CG21" s="129"/>
      <c r="CH21" s="129"/>
      <c r="CI21" s="129"/>
      <c r="CJ21" s="129"/>
      <c r="CK21" s="129"/>
      <c r="CL21" s="129"/>
      <c r="CM21" s="129"/>
      <c r="CN21" s="129"/>
      <c r="CO21" s="129"/>
      <c r="CP21" s="129"/>
      <c r="CQ21" s="129"/>
      <c r="CR21" s="129"/>
      <c r="CS21" s="129"/>
      <c r="CT21" s="129"/>
      <c r="CU21" s="129"/>
      <c r="CV21" s="129"/>
      <c r="CW21" s="129"/>
      <c r="CX21" s="129"/>
      <c r="CY21" s="129"/>
      <c r="CZ21" s="129"/>
      <c r="DA21" s="129"/>
      <c r="DB21" s="129"/>
      <c r="DC21" s="129"/>
      <c r="DD21" s="129"/>
      <c r="DE21" s="129"/>
      <c r="DF21" s="129"/>
      <c r="DG21" s="129"/>
      <c r="DH21" s="129"/>
      <c r="DI21" s="129"/>
      <c r="DJ21" s="129"/>
      <c r="DK21" s="129"/>
      <c r="DL21" s="129"/>
      <c r="DM21" s="129"/>
      <c r="DN21" s="129"/>
      <c r="DO21" s="129"/>
      <c r="DP21" s="129"/>
      <c r="DQ21" s="129"/>
      <c r="DR21" s="129"/>
      <c r="DS21" s="129"/>
      <c r="DT21" s="129"/>
      <c r="DU21" s="129"/>
      <c r="DV21" s="129"/>
      <c r="DW21" s="129"/>
      <c r="DX21" s="129"/>
      <c r="DY21" s="129"/>
      <c r="DZ21" s="129"/>
      <c r="EA21" s="129"/>
      <c r="EB21" s="129"/>
      <c r="EC21" s="129"/>
      <c r="ED21" s="129"/>
      <c r="EE21" s="129"/>
      <c r="EF21" s="129"/>
      <c r="EG21" s="129"/>
      <c r="EH21" s="129"/>
      <c r="EI21" s="129"/>
      <c r="EJ21" s="129"/>
      <c r="EK21" s="129"/>
      <c r="EL21" s="129"/>
      <c r="EM21" s="129"/>
      <c r="EN21" s="129"/>
      <c r="EO21" s="129"/>
      <c r="EP21" s="129"/>
      <c r="EQ21" s="129"/>
      <c r="ER21" s="129"/>
      <c r="ES21" s="129"/>
      <c r="ET21" s="129"/>
      <c r="EU21" s="129"/>
      <c r="EV21" s="129"/>
      <c r="EW21" s="129"/>
      <c r="EX21" s="129"/>
      <c r="EY21" s="129"/>
      <c r="EZ21" s="129"/>
      <c r="FA21" s="129"/>
      <c r="FB21" s="129"/>
      <c r="FC21" s="129"/>
      <c r="FD21" s="129"/>
      <c r="FE21" s="129"/>
      <c r="FF21" s="129"/>
      <c r="FG21" s="129"/>
      <c r="FH21" s="129"/>
      <c r="FI21" s="129"/>
      <c r="FJ21" s="129"/>
      <c r="FK21" s="129"/>
      <c r="FL21" s="129"/>
      <c r="FM21" s="129"/>
      <c r="FN21" s="129"/>
      <c r="FO21" s="129"/>
      <c r="FP21" s="129"/>
      <c r="FQ21" s="129"/>
      <c r="FR21" s="129"/>
      <c r="FS21" s="129"/>
      <c r="FT21" s="129"/>
      <c r="FU21" s="129"/>
      <c r="FV21" s="129"/>
      <c r="FW21" s="129"/>
      <c r="FX21" s="129"/>
      <c r="FY21" s="129"/>
      <c r="FZ21" s="129"/>
      <c r="GA21" s="129"/>
      <c r="GB21" s="129"/>
      <c r="GC21" s="129"/>
      <c r="GD21" s="129"/>
      <c r="GE21" s="129"/>
      <c r="GF21" s="129"/>
      <c r="GG21" s="129"/>
      <c r="GH21" s="129"/>
      <c r="GI21" s="129"/>
      <c r="GJ21" s="129"/>
      <c r="GK21" s="129"/>
      <c r="GL21" s="129"/>
      <c r="GM21" s="129"/>
      <c r="GN21" s="129"/>
      <c r="GO21" s="129"/>
      <c r="GP21" s="129"/>
      <c r="GQ21" s="129"/>
      <c r="GR21" s="129"/>
      <c r="GS21" s="129"/>
      <c r="GT21" s="129"/>
      <c r="GU21" s="129"/>
      <c r="GV21" s="129"/>
      <c r="GW21" s="129"/>
      <c r="GX21" s="129"/>
      <c r="GY21" s="129"/>
      <c r="GZ21" s="129"/>
      <c r="HA21" s="129"/>
      <c r="HB21" s="129"/>
      <c r="HC21" s="129"/>
      <c r="HD21" s="129"/>
      <c r="HE21" s="129"/>
      <c r="HF21" s="129"/>
      <c r="HG21" s="129"/>
      <c r="HH21" s="129"/>
      <c r="HI21" s="129"/>
      <c r="HJ21" s="129"/>
      <c r="HK21" s="129"/>
      <c r="HL21" s="129"/>
      <c r="HM21" s="129"/>
      <c r="HN21" s="129"/>
      <c r="HO21" s="129"/>
      <c r="HP21" s="129"/>
      <c r="HQ21" s="129"/>
      <c r="HR21" s="129"/>
      <c r="HS21" s="129"/>
      <c r="HT21" s="129"/>
      <c r="HU21" s="129"/>
      <c r="HV21" s="129"/>
      <c r="HW21" s="129"/>
      <c r="HX21" s="129"/>
      <c r="HY21" s="129"/>
      <c r="HZ21" s="129"/>
      <c r="IA21" s="129"/>
      <c r="IB21" s="129"/>
      <c r="IC21" s="129"/>
      <c r="ID21" s="129"/>
      <c r="IE21" s="129"/>
      <c r="IF21" s="129"/>
      <c r="IG21" s="129"/>
      <c r="IH21" s="129"/>
      <c r="II21" s="129"/>
      <c r="IJ21" s="129"/>
      <c r="IK21" s="129"/>
      <c r="IL21" s="129"/>
      <c r="IM21" s="129"/>
      <c r="IN21" s="129"/>
      <c r="IO21" s="129"/>
      <c r="IP21" s="129"/>
      <c r="IQ21" s="129"/>
    </row>
    <row r="22" spans="1:251" s="207" customFormat="1" x14ac:dyDescent="0.25">
      <c r="A22" s="43"/>
      <c r="B22" s="201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 t="str">
        <f t="shared" si="1"/>
        <v/>
      </c>
      <c r="AI22" s="43" t="str">
        <f t="shared" si="2"/>
        <v/>
      </c>
      <c r="AJ22" s="43" t="str">
        <f t="shared" si="0"/>
        <v/>
      </c>
      <c r="AK22" s="43" t="str">
        <f t="shared" si="3"/>
        <v/>
      </c>
      <c r="AL22" s="43">
        <f t="shared" si="4"/>
        <v>0</v>
      </c>
      <c r="AM22" s="43" t="str">
        <f t="shared" si="5"/>
        <v/>
      </c>
      <c r="AN22" s="43"/>
      <c r="AO22" s="43" t="str">
        <f t="shared" si="6"/>
        <v/>
      </c>
      <c r="AP22" s="43" t="str">
        <f t="shared" si="7"/>
        <v/>
      </c>
      <c r="AQ22" s="43"/>
      <c r="AR22" s="43"/>
      <c r="AS22" s="43"/>
      <c r="AT22" s="43" t="str">
        <f t="shared" si="8"/>
        <v/>
      </c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>
        <f t="shared" si="9"/>
        <v>0</v>
      </c>
      <c r="BG22" s="263"/>
      <c r="BH22" s="263"/>
      <c r="BP22" s="129"/>
      <c r="BQ22" s="129"/>
      <c r="BR22" s="129"/>
      <c r="BS22" s="129"/>
      <c r="BT22" s="129"/>
      <c r="BU22" s="129"/>
      <c r="BV22" s="129"/>
      <c r="BW22" s="129"/>
      <c r="BX22" s="129"/>
      <c r="BY22" s="129"/>
      <c r="BZ22" s="129"/>
      <c r="CA22" s="129"/>
      <c r="CB22" s="129"/>
      <c r="CC22" s="129"/>
      <c r="CD22" s="129"/>
      <c r="CE22" s="129"/>
      <c r="CF22" s="129"/>
      <c r="CG22" s="129"/>
      <c r="CH22" s="129"/>
      <c r="CI22" s="129"/>
      <c r="CJ22" s="129"/>
      <c r="CK22" s="129"/>
      <c r="CL22" s="129"/>
      <c r="CM22" s="129"/>
      <c r="CN22" s="129"/>
      <c r="CO22" s="129"/>
      <c r="CP22" s="129"/>
      <c r="CQ22" s="129"/>
      <c r="CR22" s="129"/>
      <c r="CS22" s="129"/>
      <c r="CT22" s="129"/>
      <c r="CU22" s="129"/>
      <c r="CV22" s="129"/>
      <c r="CW22" s="129"/>
      <c r="CX22" s="129"/>
      <c r="CY22" s="129"/>
      <c r="CZ22" s="129"/>
      <c r="DA22" s="129"/>
      <c r="DB22" s="129"/>
      <c r="DC22" s="129"/>
      <c r="DD22" s="129"/>
      <c r="DE22" s="129"/>
      <c r="DF22" s="129"/>
      <c r="DG22" s="129"/>
      <c r="DH22" s="129"/>
      <c r="DI22" s="129"/>
      <c r="DJ22" s="129"/>
      <c r="DK22" s="129"/>
      <c r="DL22" s="129"/>
      <c r="DM22" s="129"/>
      <c r="DN22" s="129"/>
      <c r="DO22" s="129"/>
      <c r="DP22" s="129"/>
      <c r="DQ22" s="129"/>
      <c r="DR22" s="129"/>
      <c r="DS22" s="129"/>
      <c r="DT22" s="129"/>
      <c r="DU22" s="129"/>
      <c r="DV22" s="129"/>
      <c r="DW22" s="129"/>
      <c r="DX22" s="129"/>
      <c r="DY22" s="129"/>
      <c r="DZ22" s="129"/>
      <c r="EA22" s="129"/>
      <c r="EB22" s="129"/>
      <c r="EC22" s="129"/>
      <c r="ED22" s="129"/>
      <c r="EE22" s="129"/>
      <c r="EF22" s="129"/>
      <c r="EG22" s="129"/>
      <c r="EH22" s="129"/>
      <c r="EI22" s="129"/>
      <c r="EJ22" s="129"/>
      <c r="EK22" s="129"/>
      <c r="EL22" s="129"/>
      <c r="EM22" s="129"/>
      <c r="EN22" s="129"/>
      <c r="EO22" s="129"/>
      <c r="EP22" s="129"/>
      <c r="EQ22" s="129"/>
      <c r="ER22" s="129"/>
      <c r="ES22" s="129"/>
      <c r="ET22" s="129"/>
      <c r="EU22" s="129"/>
      <c r="EV22" s="129"/>
      <c r="EW22" s="129"/>
      <c r="EX22" s="129"/>
      <c r="EY22" s="129"/>
      <c r="EZ22" s="129"/>
      <c r="FA22" s="129"/>
      <c r="FB22" s="129"/>
      <c r="FC22" s="129"/>
      <c r="FD22" s="129"/>
      <c r="FE22" s="129"/>
      <c r="FF22" s="129"/>
      <c r="FG22" s="129"/>
      <c r="FH22" s="129"/>
      <c r="FI22" s="129"/>
      <c r="FJ22" s="129"/>
      <c r="FK22" s="129"/>
      <c r="FL22" s="129"/>
      <c r="FM22" s="129"/>
      <c r="FN22" s="129"/>
      <c r="FO22" s="129"/>
      <c r="FP22" s="129"/>
      <c r="FQ22" s="129"/>
      <c r="FR22" s="129"/>
      <c r="FS22" s="129"/>
      <c r="FT22" s="129"/>
      <c r="FU22" s="129"/>
      <c r="FV22" s="129"/>
      <c r="FW22" s="129"/>
      <c r="FX22" s="129"/>
      <c r="FY22" s="129"/>
      <c r="FZ22" s="129"/>
      <c r="GA22" s="129"/>
      <c r="GB22" s="129"/>
      <c r="GC22" s="129"/>
      <c r="GD22" s="129"/>
      <c r="GE22" s="129"/>
      <c r="GF22" s="129"/>
      <c r="GG22" s="129"/>
      <c r="GH22" s="129"/>
      <c r="GI22" s="129"/>
      <c r="GJ22" s="129"/>
      <c r="GK22" s="129"/>
      <c r="GL22" s="129"/>
      <c r="GM22" s="129"/>
      <c r="GN22" s="129"/>
      <c r="GO22" s="129"/>
      <c r="GP22" s="129"/>
      <c r="GQ22" s="129"/>
      <c r="GR22" s="129"/>
      <c r="GS22" s="129"/>
      <c r="GT22" s="129"/>
      <c r="GU22" s="129"/>
      <c r="GV22" s="129"/>
      <c r="GW22" s="129"/>
      <c r="GX22" s="129"/>
      <c r="GY22" s="129"/>
      <c r="GZ22" s="129"/>
      <c r="HA22" s="129"/>
      <c r="HB22" s="129"/>
      <c r="HC22" s="129"/>
      <c r="HD22" s="129"/>
      <c r="HE22" s="129"/>
      <c r="HF22" s="129"/>
      <c r="HG22" s="129"/>
      <c r="HH22" s="129"/>
      <c r="HI22" s="129"/>
      <c r="HJ22" s="129"/>
      <c r="HK22" s="129"/>
      <c r="HL22" s="129"/>
      <c r="HM22" s="129"/>
      <c r="HN22" s="129"/>
      <c r="HO22" s="129"/>
      <c r="HP22" s="129"/>
      <c r="HQ22" s="129"/>
      <c r="HR22" s="129"/>
      <c r="HS22" s="129"/>
      <c r="HT22" s="129"/>
      <c r="HU22" s="129"/>
      <c r="HV22" s="129"/>
      <c r="HW22" s="129"/>
      <c r="HX22" s="129"/>
      <c r="HY22" s="129"/>
      <c r="HZ22" s="129"/>
      <c r="IA22" s="129"/>
      <c r="IB22" s="129"/>
      <c r="IC22" s="129"/>
      <c r="ID22" s="129"/>
      <c r="IE22" s="129"/>
      <c r="IF22" s="129"/>
      <c r="IG22" s="129"/>
      <c r="IH22" s="129"/>
      <c r="II22" s="129"/>
      <c r="IJ22" s="129"/>
      <c r="IK22" s="129"/>
      <c r="IL22" s="129"/>
      <c r="IM22" s="129"/>
      <c r="IN22" s="129"/>
      <c r="IO22" s="129"/>
      <c r="IP22" s="129"/>
      <c r="IQ22" s="129"/>
    </row>
    <row r="23" spans="1:251" s="207" customFormat="1" x14ac:dyDescent="0.25">
      <c r="A23" s="43"/>
      <c r="B23" s="201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 t="str">
        <f t="shared" si="1"/>
        <v/>
      </c>
      <c r="AI23" s="43" t="str">
        <f t="shared" si="2"/>
        <v/>
      </c>
      <c r="AJ23" s="43" t="str">
        <f t="shared" si="0"/>
        <v/>
      </c>
      <c r="AK23" s="43" t="str">
        <f t="shared" si="3"/>
        <v/>
      </c>
      <c r="AL23" s="43">
        <f t="shared" si="4"/>
        <v>0</v>
      </c>
      <c r="AM23" s="43" t="str">
        <f t="shared" si="5"/>
        <v/>
      </c>
      <c r="AN23" s="43"/>
      <c r="AO23" s="43" t="str">
        <f t="shared" si="6"/>
        <v/>
      </c>
      <c r="AP23" s="43" t="str">
        <f t="shared" si="7"/>
        <v/>
      </c>
      <c r="AQ23" s="43"/>
      <c r="AR23" s="43"/>
      <c r="AS23" s="43"/>
      <c r="AT23" s="43" t="str">
        <f t="shared" si="8"/>
        <v/>
      </c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>
        <f t="shared" si="9"/>
        <v>0</v>
      </c>
      <c r="BG23" s="263"/>
      <c r="BH23" s="263"/>
      <c r="BP23" s="129"/>
      <c r="BQ23" s="129"/>
      <c r="BR23" s="129"/>
      <c r="BS23" s="129"/>
      <c r="BT23" s="129"/>
      <c r="BU23" s="129"/>
      <c r="BV23" s="129"/>
      <c r="BW23" s="129"/>
      <c r="BX23" s="129"/>
      <c r="BY23" s="129"/>
      <c r="BZ23" s="129"/>
      <c r="CA23" s="129"/>
      <c r="CB23" s="129"/>
      <c r="CC23" s="129"/>
      <c r="CD23" s="129"/>
      <c r="CE23" s="129"/>
      <c r="CF23" s="129"/>
      <c r="CG23" s="129"/>
      <c r="CH23" s="129"/>
      <c r="CI23" s="129"/>
      <c r="CJ23" s="129"/>
      <c r="CK23" s="129"/>
      <c r="CL23" s="129"/>
      <c r="CM23" s="129"/>
      <c r="CN23" s="129"/>
      <c r="CO23" s="129"/>
      <c r="CP23" s="129"/>
      <c r="CQ23" s="129"/>
      <c r="CR23" s="129"/>
      <c r="CS23" s="129"/>
      <c r="CT23" s="129"/>
      <c r="CU23" s="129"/>
      <c r="CV23" s="129"/>
      <c r="CW23" s="129"/>
      <c r="CX23" s="129"/>
      <c r="CY23" s="129"/>
      <c r="CZ23" s="129"/>
      <c r="DA23" s="129"/>
      <c r="DB23" s="129"/>
      <c r="DC23" s="129"/>
      <c r="DD23" s="129"/>
      <c r="DE23" s="129"/>
      <c r="DF23" s="129"/>
      <c r="DG23" s="129"/>
      <c r="DH23" s="129"/>
      <c r="DI23" s="129"/>
      <c r="DJ23" s="129"/>
      <c r="DK23" s="129"/>
      <c r="DL23" s="129"/>
      <c r="DM23" s="129"/>
      <c r="DN23" s="129"/>
      <c r="DO23" s="129"/>
      <c r="DP23" s="129"/>
      <c r="DQ23" s="129"/>
      <c r="DR23" s="129"/>
      <c r="DS23" s="129"/>
      <c r="DT23" s="129"/>
      <c r="DU23" s="129"/>
      <c r="DV23" s="129"/>
      <c r="DW23" s="129"/>
      <c r="DX23" s="129"/>
      <c r="DY23" s="129"/>
      <c r="DZ23" s="129"/>
      <c r="EA23" s="129"/>
      <c r="EB23" s="129"/>
      <c r="EC23" s="129"/>
      <c r="ED23" s="129"/>
      <c r="EE23" s="129"/>
      <c r="EF23" s="129"/>
      <c r="EG23" s="129"/>
      <c r="EH23" s="129"/>
      <c r="EI23" s="129"/>
      <c r="EJ23" s="129"/>
      <c r="EK23" s="129"/>
      <c r="EL23" s="129"/>
      <c r="EM23" s="129"/>
      <c r="EN23" s="129"/>
      <c r="EO23" s="129"/>
      <c r="EP23" s="129"/>
      <c r="EQ23" s="129"/>
      <c r="ER23" s="129"/>
      <c r="ES23" s="129"/>
      <c r="ET23" s="129"/>
      <c r="EU23" s="129"/>
      <c r="EV23" s="129"/>
      <c r="EW23" s="129"/>
      <c r="EX23" s="129"/>
      <c r="EY23" s="129"/>
      <c r="EZ23" s="129"/>
      <c r="FA23" s="129"/>
      <c r="FB23" s="129"/>
      <c r="FC23" s="129"/>
      <c r="FD23" s="129"/>
      <c r="FE23" s="129"/>
      <c r="FF23" s="129"/>
      <c r="FG23" s="129"/>
      <c r="FH23" s="129"/>
      <c r="FI23" s="129"/>
      <c r="FJ23" s="129"/>
      <c r="FK23" s="129"/>
      <c r="FL23" s="129"/>
      <c r="FM23" s="129"/>
      <c r="FN23" s="129"/>
      <c r="FO23" s="129"/>
      <c r="FP23" s="129"/>
      <c r="FQ23" s="129"/>
      <c r="FR23" s="129"/>
      <c r="FS23" s="129"/>
      <c r="FT23" s="129"/>
      <c r="FU23" s="129"/>
      <c r="FV23" s="129"/>
      <c r="FW23" s="129"/>
      <c r="FX23" s="129"/>
      <c r="FY23" s="129"/>
      <c r="FZ23" s="129"/>
      <c r="GA23" s="129"/>
      <c r="GB23" s="129"/>
      <c r="GC23" s="129"/>
      <c r="GD23" s="129"/>
      <c r="GE23" s="129"/>
      <c r="GF23" s="129"/>
      <c r="GG23" s="129"/>
      <c r="GH23" s="129"/>
      <c r="GI23" s="129"/>
      <c r="GJ23" s="129"/>
      <c r="GK23" s="129"/>
      <c r="GL23" s="129"/>
      <c r="GM23" s="129"/>
      <c r="GN23" s="129"/>
      <c r="GO23" s="129"/>
      <c r="GP23" s="129"/>
      <c r="GQ23" s="129"/>
      <c r="GR23" s="129"/>
      <c r="GS23" s="129"/>
      <c r="GT23" s="129"/>
      <c r="GU23" s="129"/>
      <c r="GV23" s="129"/>
      <c r="GW23" s="129"/>
      <c r="GX23" s="129"/>
      <c r="GY23" s="129"/>
      <c r="GZ23" s="129"/>
      <c r="HA23" s="129"/>
      <c r="HB23" s="129"/>
      <c r="HC23" s="129"/>
      <c r="HD23" s="129"/>
      <c r="HE23" s="129"/>
      <c r="HF23" s="129"/>
      <c r="HG23" s="129"/>
      <c r="HH23" s="129"/>
      <c r="HI23" s="129"/>
      <c r="HJ23" s="129"/>
      <c r="HK23" s="129"/>
      <c r="HL23" s="129"/>
      <c r="HM23" s="129"/>
      <c r="HN23" s="129"/>
      <c r="HO23" s="129"/>
      <c r="HP23" s="129"/>
      <c r="HQ23" s="129"/>
      <c r="HR23" s="129"/>
      <c r="HS23" s="129"/>
      <c r="HT23" s="129"/>
      <c r="HU23" s="129"/>
      <c r="HV23" s="129"/>
      <c r="HW23" s="129"/>
      <c r="HX23" s="129"/>
      <c r="HY23" s="129"/>
      <c r="HZ23" s="129"/>
      <c r="IA23" s="129"/>
      <c r="IB23" s="129"/>
      <c r="IC23" s="129"/>
      <c r="ID23" s="129"/>
      <c r="IE23" s="129"/>
      <c r="IF23" s="129"/>
      <c r="IG23" s="129"/>
      <c r="IH23" s="129"/>
      <c r="II23" s="129"/>
      <c r="IJ23" s="129"/>
      <c r="IK23" s="129"/>
      <c r="IL23" s="129"/>
      <c r="IM23" s="129"/>
      <c r="IN23" s="129"/>
      <c r="IO23" s="129"/>
      <c r="IP23" s="129"/>
      <c r="IQ23" s="129"/>
    </row>
    <row r="24" spans="1:251" s="207" customFormat="1" x14ac:dyDescent="0.25">
      <c r="A24" s="43"/>
      <c r="B24" s="201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 t="str">
        <f t="shared" si="1"/>
        <v/>
      </c>
      <c r="AI24" s="43" t="str">
        <f t="shared" si="2"/>
        <v/>
      </c>
      <c r="AJ24" s="43" t="str">
        <f t="shared" si="0"/>
        <v/>
      </c>
      <c r="AK24" s="43" t="str">
        <f t="shared" si="3"/>
        <v/>
      </c>
      <c r="AL24" s="43">
        <f t="shared" si="4"/>
        <v>0</v>
      </c>
      <c r="AM24" s="43" t="str">
        <f t="shared" si="5"/>
        <v/>
      </c>
      <c r="AN24" s="43"/>
      <c r="AO24" s="43" t="str">
        <f t="shared" si="6"/>
        <v/>
      </c>
      <c r="AP24" s="43" t="str">
        <f t="shared" si="7"/>
        <v/>
      </c>
      <c r="AQ24" s="43"/>
      <c r="AR24" s="43"/>
      <c r="AS24" s="43"/>
      <c r="AT24" s="43" t="str">
        <f t="shared" si="8"/>
        <v/>
      </c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>
        <f t="shared" si="9"/>
        <v>0</v>
      </c>
      <c r="BG24" s="263"/>
      <c r="BH24" s="263"/>
      <c r="BK24" s="253"/>
      <c r="BL24" s="253"/>
      <c r="BM24" s="253"/>
      <c r="BN24" s="253"/>
      <c r="BO24" s="253"/>
      <c r="FN24" s="129"/>
      <c r="FO24" s="129"/>
      <c r="FP24" s="129"/>
      <c r="FQ24" s="129"/>
      <c r="FR24" s="129"/>
      <c r="FS24" s="129"/>
      <c r="FT24" s="129"/>
      <c r="FU24" s="129"/>
      <c r="FV24" s="129"/>
      <c r="FW24" s="129"/>
      <c r="FX24" s="129"/>
      <c r="FY24" s="129"/>
      <c r="FZ24" s="129"/>
      <c r="GA24" s="129"/>
      <c r="GB24" s="129"/>
      <c r="GC24" s="129"/>
      <c r="GD24" s="129"/>
      <c r="GE24" s="129"/>
      <c r="GF24" s="129"/>
      <c r="GG24" s="129"/>
      <c r="GH24" s="129"/>
      <c r="GI24" s="129"/>
      <c r="GJ24" s="129"/>
      <c r="GK24" s="129"/>
      <c r="GL24" s="129"/>
      <c r="GM24" s="129"/>
      <c r="GN24" s="129"/>
      <c r="GO24" s="129"/>
      <c r="GP24" s="129"/>
      <c r="GQ24" s="129"/>
      <c r="GR24" s="129"/>
      <c r="GS24" s="129"/>
      <c r="GT24" s="129"/>
      <c r="GU24" s="129"/>
      <c r="GV24" s="129"/>
      <c r="GW24" s="129"/>
      <c r="GX24" s="129"/>
      <c r="GY24" s="129"/>
      <c r="GZ24" s="129"/>
      <c r="HA24" s="129"/>
      <c r="HB24" s="129"/>
      <c r="HC24" s="129"/>
      <c r="HD24" s="129"/>
      <c r="HE24" s="129"/>
      <c r="HF24" s="129"/>
      <c r="HG24" s="129"/>
      <c r="HH24" s="129"/>
      <c r="HI24" s="129"/>
      <c r="HJ24" s="129"/>
      <c r="HK24" s="129"/>
      <c r="HL24" s="129"/>
      <c r="HM24" s="129"/>
      <c r="HN24" s="129"/>
      <c r="HO24" s="129"/>
      <c r="HP24" s="129"/>
      <c r="HQ24" s="129"/>
      <c r="HR24" s="129"/>
      <c r="HS24" s="129"/>
      <c r="HT24" s="129"/>
      <c r="HU24" s="129"/>
      <c r="HV24" s="129"/>
      <c r="HW24" s="129"/>
      <c r="HX24" s="129"/>
      <c r="HY24" s="129"/>
      <c r="HZ24" s="129"/>
      <c r="IA24" s="129"/>
      <c r="IB24" s="129"/>
      <c r="IC24" s="129"/>
      <c r="ID24" s="129"/>
      <c r="IE24" s="129"/>
      <c r="IF24" s="129"/>
      <c r="IG24" s="129"/>
      <c r="IH24" s="129"/>
      <c r="II24" s="129"/>
      <c r="IJ24" s="129"/>
      <c r="IK24" s="129"/>
      <c r="IL24" s="129"/>
      <c r="IM24" s="129"/>
      <c r="IN24" s="129"/>
      <c r="IO24" s="129"/>
      <c r="IP24" s="129"/>
      <c r="IQ24" s="129"/>
    </row>
    <row r="25" spans="1:251" s="207" customFormat="1" x14ac:dyDescent="0.25">
      <c r="A25" s="43"/>
      <c r="B25" s="201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 t="str">
        <f t="shared" si="1"/>
        <v/>
      </c>
      <c r="AI25" s="43" t="str">
        <f t="shared" si="2"/>
        <v/>
      </c>
      <c r="AJ25" s="43" t="str">
        <f t="shared" si="0"/>
        <v/>
      </c>
      <c r="AK25" s="43" t="str">
        <f t="shared" si="3"/>
        <v/>
      </c>
      <c r="AL25" s="43">
        <f t="shared" si="4"/>
        <v>0</v>
      </c>
      <c r="AM25" s="43" t="str">
        <f t="shared" si="5"/>
        <v/>
      </c>
      <c r="AN25" s="43"/>
      <c r="AO25" s="43" t="str">
        <f t="shared" si="6"/>
        <v/>
      </c>
      <c r="AP25" s="43" t="str">
        <f t="shared" si="7"/>
        <v/>
      </c>
      <c r="AQ25" s="43"/>
      <c r="AR25" s="43"/>
      <c r="AS25" s="43"/>
      <c r="AT25" s="43" t="str">
        <f t="shared" si="8"/>
        <v/>
      </c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>
        <f t="shared" si="9"/>
        <v>0</v>
      </c>
      <c r="BG25" s="263"/>
      <c r="BH25" s="263"/>
      <c r="BK25" s="129"/>
      <c r="BL25" s="129"/>
      <c r="BM25" s="129"/>
      <c r="BN25" s="129"/>
      <c r="BO25" s="129"/>
      <c r="FN25" s="129"/>
      <c r="FO25" s="129"/>
      <c r="FP25" s="129"/>
      <c r="FQ25" s="129"/>
      <c r="FR25" s="129"/>
      <c r="FS25" s="129"/>
      <c r="FT25" s="129"/>
      <c r="FU25" s="129"/>
      <c r="FV25" s="129"/>
      <c r="FW25" s="129"/>
      <c r="FX25" s="129"/>
      <c r="FY25" s="129"/>
      <c r="FZ25" s="129"/>
      <c r="GA25" s="129"/>
      <c r="GB25" s="129"/>
      <c r="GC25" s="129"/>
      <c r="GD25" s="129"/>
      <c r="GE25" s="129"/>
      <c r="GF25" s="129"/>
      <c r="GG25" s="129"/>
      <c r="GH25" s="129"/>
      <c r="GI25" s="129"/>
      <c r="GJ25" s="129"/>
      <c r="GK25" s="129"/>
      <c r="GL25" s="129"/>
      <c r="GM25" s="129"/>
      <c r="GN25" s="129"/>
      <c r="GO25" s="129"/>
      <c r="GP25" s="129"/>
      <c r="GQ25" s="129"/>
      <c r="GR25" s="129"/>
      <c r="GS25" s="129"/>
      <c r="GT25" s="129"/>
      <c r="GU25" s="129"/>
      <c r="GV25" s="129"/>
      <c r="GW25" s="129"/>
      <c r="GX25" s="129"/>
      <c r="GY25" s="129"/>
      <c r="GZ25" s="129"/>
      <c r="HA25" s="129"/>
      <c r="HB25" s="129"/>
      <c r="HC25" s="129"/>
      <c r="HD25" s="129"/>
      <c r="HE25" s="129"/>
      <c r="HF25" s="129"/>
      <c r="HG25" s="129"/>
      <c r="HH25" s="129"/>
      <c r="HI25" s="129"/>
      <c r="HJ25" s="129"/>
      <c r="HK25" s="129"/>
      <c r="HL25" s="129"/>
      <c r="HM25" s="129"/>
      <c r="HN25" s="129"/>
      <c r="HO25" s="129"/>
      <c r="HP25" s="129"/>
      <c r="HQ25" s="129"/>
      <c r="HR25" s="129"/>
      <c r="HS25" s="129"/>
      <c r="HT25" s="129"/>
      <c r="HU25" s="129"/>
      <c r="HV25" s="129"/>
      <c r="HW25" s="129"/>
      <c r="HX25" s="129"/>
      <c r="HY25" s="129"/>
      <c r="HZ25" s="129"/>
      <c r="IA25" s="129"/>
      <c r="IB25" s="129"/>
      <c r="IC25" s="129"/>
      <c r="ID25" s="129"/>
      <c r="IE25" s="129"/>
      <c r="IF25" s="129"/>
      <c r="IG25" s="129"/>
      <c r="IH25" s="129"/>
      <c r="II25" s="129"/>
      <c r="IJ25" s="129"/>
      <c r="IK25" s="129"/>
      <c r="IL25" s="129"/>
      <c r="IM25" s="129"/>
      <c r="IN25" s="129"/>
      <c r="IO25" s="129"/>
      <c r="IP25" s="129"/>
      <c r="IQ25" s="129"/>
    </row>
    <row r="26" spans="1:251" s="207" customFormat="1" x14ac:dyDescent="0.25">
      <c r="A26" s="43"/>
      <c r="B26" s="201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 t="str">
        <f t="shared" si="1"/>
        <v/>
      </c>
      <c r="AI26" s="43" t="str">
        <f t="shared" si="2"/>
        <v/>
      </c>
      <c r="AJ26" s="43" t="str">
        <f t="shared" si="0"/>
        <v/>
      </c>
      <c r="AK26" s="43" t="str">
        <f t="shared" si="3"/>
        <v/>
      </c>
      <c r="AL26" s="43">
        <f t="shared" si="4"/>
        <v>0</v>
      </c>
      <c r="AM26" s="43" t="str">
        <f t="shared" si="5"/>
        <v/>
      </c>
      <c r="AN26" s="43"/>
      <c r="AO26" s="43" t="str">
        <f t="shared" si="6"/>
        <v/>
      </c>
      <c r="AP26" s="43" t="str">
        <f t="shared" si="7"/>
        <v/>
      </c>
      <c r="AQ26" s="43"/>
      <c r="AR26" s="43"/>
      <c r="AS26" s="43"/>
      <c r="AT26" s="43" t="str">
        <f t="shared" si="8"/>
        <v/>
      </c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>
        <f t="shared" si="9"/>
        <v>0</v>
      </c>
      <c r="BG26" s="263"/>
      <c r="BH26" s="263"/>
      <c r="BP26" s="129"/>
      <c r="BQ26" s="129"/>
      <c r="BR26" s="129"/>
      <c r="BS26" s="129"/>
      <c r="BT26" s="129"/>
      <c r="BU26" s="129"/>
      <c r="BV26" s="129"/>
      <c r="BW26" s="129"/>
      <c r="BX26" s="129"/>
      <c r="BY26" s="129"/>
      <c r="BZ26" s="129"/>
      <c r="CA26" s="129"/>
      <c r="CB26" s="129"/>
      <c r="CC26" s="129"/>
      <c r="CD26" s="129"/>
      <c r="CE26" s="129"/>
      <c r="CF26" s="129"/>
      <c r="CG26" s="129"/>
      <c r="CH26" s="129"/>
      <c r="CI26" s="129"/>
      <c r="CJ26" s="129"/>
      <c r="CK26" s="129"/>
      <c r="CL26" s="129"/>
      <c r="CM26" s="129"/>
      <c r="CN26" s="129"/>
      <c r="CO26" s="129"/>
      <c r="CP26" s="129"/>
      <c r="CQ26" s="129"/>
      <c r="CR26" s="129"/>
      <c r="CS26" s="129"/>
      <c r="CT26" s="129"/>
      <c r="CU26" s="129"/>
      <c r="CV26" s="129"/>
      <c r="CW26" s="129"/>
      <c r="CX26" s="129"/>
      <c r="CY26" s="129"/>
      <c r="CZ26" s="129"/>
      <c r="DA26" s="129"/>
      <c r="DB26" s="129"/>
      <c r="DC26" s="129"/>
      <c r="DD26" s="129"/>
      <c r="DE26" s="129"/>
      <c r="DF26" s="129"/>
      <c r="DG26" s="129"/>
      <c r="DH26" s="129"/>
      <c r="DI26" s="129"/>
      <c r="DJ26" s="129"/>
      <c r="DK26" s="129"/>
      <c r="DL26" s="129"/>
      <c r="DM26" s="129"/>
      <c r="DN26" s="129"/>
      <c r="DO26" s="129"/>
      <c r="DP26" s="129"/>
      <c r="DQ26" s="129"/>
      <c r="DR26" s="129"/>
      <c r="DS26" s="129"/>
      <c r="DT26" s="129"/>
      <c r="DU26" s="129"/>
      <c r="DV26" s="129"/>
      <c r="DW26" s="129"/>
      <c r="DX26" s="129"/>
      <c r="DY26" s="129"/>
      <c r="DZ26" s="129"/>
      <c r="EA26" s="129"/>
      <c r="EB26" s="129"/>
      <c r="EC26" s="129"/>
      <c r="ED26" s="129"/>
      <c r="EE26" s="129"/>
      <c r="EF26" s="129"/>
      <c r="EG26" s="129"/>
      <c r="EH26" s="129"/>
      <c r="EI26" s="129"/>
      <c r="EJ26" s="129"/>
      <c r="EK26" s="129"/>
      <c r="EL26" s="129"/>
      <c r="EM26" s="129"/>
      <c r="EN26" s="129"/>
      <c r="EO26" s="129"/>
      <c r="EP26" s="129"/>
      <c r="EQ26" s="129"/>
      <c r="ER26" s="129"/>
      <c r="ES26" s="129"/>
      <c r="ET26" s="129"/>
      <c r="EU26" s="129"/>
      <c r="EV26" s="129"/>
      <c r="EW26" s="129"/>
      <c r="EX26" s="129"/>
      <c r="EY26" s="129"/>
      <c r="EZ26" s="129"/>
      <c r="FA26" s="129"/>
      <c r="FB26" s="129"/>
      <c r="FC26" s="129"/>
      <c r="FD26" s="129"/>
      <c r="FE26" s="129"/>
      <c r="FF26" s="129"/>
      <c r="FG26" s="129"/>
      <c r="FH26" s="129"/>
      <c r="FI26" s="129"/>
      <c r="FJ26" s="129"/>
      <c r="FK26" s="129"/>
      <c r="FL26" s="129"/>
      <c r="FM26" s="129"/>
      <c r="FN26" s="129"/>
      <c r="FO26" s="129"/>
      <c r="FP26" s="129"/>
      <c r="FQ26" s="129"/>
      <c r="FR26" s="129"/>
      <c r="FS26" s="129"/>
      <c r="FT26" s="129"/>
      <c r="FU26" s="129"/>
      <c r="FV26" s="129"/>
      <c r="FW26" s="129"/>
      <c r="FX26" s="129"/>
      <c r="FY26" s="129"/>
      <c r="FZ26" s="129"/>
      <c r="GA26" s="129"/>
      <c r="GB26" s="129"/>
      <c r="GC26" s="129"/>
      <c r="GD26" s="129"/>
      <c r="GE26" s="129"/>
      <c r="GF26" s="129"/>
      <c r="GG26" s="129"/>
      <c r="GH26" s="129"/>
      <c r="GI26" s="129"/>
      <c r="GJ26" s="129"/>
      <c r="GK26" s="129"/>
      <c r="GL26" s="129"/>
      <c r="GM26" s="129"/>
      <c r="GN26" s="129"/>
      <c r="GO26" s="129"/>
      <c r="GP26" s="129"/>
      <c r="GQ26" s="129"/>
      <c r="GR26" s="129"/>
      <c r="GS26" s="129"/>
      <c r="GT26" s="129"/>
      <c r="GU26" s="129"/>
      <c r="GV26" s="129"/>
      <c r="GW26" s="129"/>
      <c r="GX26" s="129"/>
      <c r="GY26" s="129"/>
      <c r="GZ26" s="129"/>
      <c r="HA26" s="129"/>
      <c r="HB26" s="129"/>
      <c r="HC26" s="129"/>
      <c r="HD26" s="129"/>
      <c r="HE26" s="129"/>
      <c r="HF26" s="129"/>
      <c r="HG26" s="129"/>
      <c r="HH26" s="129"/>
      <c r="HI26" s="129"/>
      <c r="HJ26" s="129"/>
      <c r="HK26" s="129"/>
      <c r="HL26" s="129"/>
      <c r="HM26" s="129"/>
      <c r="HN26" s="129"/>
      <c r="HO26" s="129"/>
      <c r="HP26" s="129"/>
      <c r="HQ26" s="129"/>
      <c r="HR26" s="129"/>
      <c r="HS26" s="129"/>
      <c r="HT26" s="129"/>
      <c r="HU26" s="129"/>
      <c r="HV26" s="129"/>
      <c r="HW26" s="129"/>
      <c r="HX26" s="129"/>
      <c r="HY26" s="129"/>
      <c r="HZ26" s="129"/>
      <c r="IA26" s="129"/>
      <c r="IB26" s="129"/>
      <c r="IC26" s="129"/>
      <c r="ID26" s="129"/>
      <c r="IE26" s="129"/>
      <c r="IF26" s="129"/>
      <c r="IG26" s="129"/>
      <c r="IH26" s="129"/>
      <c r="II26" s="129"/>
      <c r="IJ26" s="129"/>
      <c r="IK26" s="129"/>
      <c r="IL26" s="129"/>
      <c r="IM26" s="129"/>
      <c r="IN26" s="129"/>
      <c r="IO26" s="129"/>
      <c r="IP26" s="129"/>
      <c r="IQ26" s="129"/>
    </row>
    <row r="27" spans="1:251" s="207" customFormat="1" x14ac:dyDescent="0.25">
      <c r="A27" s="43"/>
      <c r="B27" s="201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 t="str">
        <f t="shared" si="1"/>
        <v/>
      </c>
      <c r="AI27" s="43" t="str">
        <f t="shared" si="2"/>
        <v/>
      </c>
      <c r="AJ27" s="43" t="str">
        <f t="shared" si="0"/>
        <v/>
      </c>
      <c r="AK27" s="43" t="str">
        <f t="shared" si="3"/>
        <v/>
      </c>
      <c r="AL27" s="43">
        <f t="shared" si="4"/>
        <v>0</v>
      </c>
      <c r="AM27" s="43" t="str">
        <f t="shared" si="5"/>
        <v/>
      </c>
      <c r="AN27" s="43"/>
      <c r="AO27" s="43" t="str">
        <f t="shared" si="6"/>
        <v/>
      </c>
      <c r="AP27" s="43" t="str">
        <f t="shared" si="7"/>
        <v/>
      </c>
      <c r="AQ27" s="43"/>
      <c r="AR27" s="43"/>
      <c r="AS27" s="43"/>
      <c r="AT27" s="43" t="str">
        <f t="shared" si="8"/>
        <v/>
      </c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>
        <f t="shared" si="9"/>
        <v>0</v>
      </c>
      <c r="BG27" s="263"/>
      <c r="BH27" s="263"/>
      <c r="FN27" s="129"/>
      <c r="FO27" s="129"/>
      <c r="FP27" s="129"/>
      <c r="FQ27" s="129"/>
      <c r="FR27" s="129"/>
      <c r="FS27" s="129"/>
      <c r="FT27" s="129"/>
      <c r="FU27" s="129"/>
      <c r="FV27" s="129"/>
      <c r="FW27" s="129"/>
      <c r="FX27" s="129"/>
      <c r="FY27" s="129"/>
      <c r="FZ27" s="129"/>
      <c r="GA27" s="129"/>
      <c r="GB27" s="129"/>
      <c r="GC27" s="129"/>
      <c r="GD27" s="129"/>
      <c r="GE27" s="129"/>
      <c r="GF27" s="129"/>
      <c r="GG27" s="129"/>
      <c r="GH27" s="129"/>
      <c r="GI27" s="129"/>
      <c r="GJ27" s="129"/>
      <c r="GK27" s="129"/>
      <c r="GL27" s="129"/>
      <c r="GM27" s="129"/>
      <c r="GN27" s="129"/>
      <c r="GO27" s="129"/>
      <c r="GP27" s="129"/>
      <c r="GQ27" s="129"/>
      <c r="GR27" s="129"/>
      <c r="GS27" s="129"/>
      <c r="GT27" s="129"/>
      <c r="GU27" s="129"/>
      <c r="GV27" s="129"/>
      <c r="GW27" s="129"/>
      <c r="GX27" s="129"/>
      <c r="GY27" s="129"/>
      <c r="GZ27" s="129"/>
      <c r="HA27" s="129"/>
      <c r="HB27" s="129"/>
      <c r="HC27" s="129"/>
      <c r="HD27" s="129"/>
      <c r="HE27" s="129"/>
      <c r="HF27" s="129"/>
      <c r="HG27" s="129"/>
      <c r="HH27" s="129"/>
      <c r="HI27" s="129"/>
      <c r="HJ27" s="129"/>
      <c r="HK27" s="129"/>
      <c r="HL27" s="129"/>
      <c r="HM27" s="129"/>
      <c r="HN27" s="129"/>
      <c r="HO27" s="129"/>
      <c r="HP27" s="129"/>
      <c r="HQ27" s="129"/>
      <c r="HR27" s="129"/>
      <c r="HS27" s="129"/>
      <c r="HT27" s="129"/>
      <c r="HU27" s="129"/>
      <c r="HV27" s="129"/>
      <c r="HW27" s="129"/>
      <c r="HX27" s="129"/>
      <c r="HY27" s="129"/>
      <c r="HZ27" s="129"/>
      <c r="IA27" s="129"/>
      <c r="IB27" s="129"/>
      <c r="IC27" s="129"/>
      <c r="ID27" s="129"/>
      <c r="IE27" s="129"/>
      <c r="IF27" s="129"/>
      <c r="IG27" s="129"/>
      <c r="IH27" s="129"/>
      <c r="II27" s="129"/>
      <c r="IJ27" s="129"/>
      <c r="IK27" s="129"/>
      <c r="IL27" s="129"/>
      <c r="IM27" s="129"/>
      <c r="IN27" s="129"/>
      <c r="IO27" s="129"/>
      <c r="IP27" s="129"/>
      <c r="IQ27" s="129"/>
    </row>
    <row r="28" spans="1:251" s="207" customFormat="1" x14ac:dyDescent="0.25">
      <c r="A28" s="43"/>
      <c r="B28" s="201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 t="str">
        <f t="shared" si="1"/>
        <v/>
      </c>
      <c r="AI28" s="43" t="str">
        <f t="shared" si="2"/>
        <v/>
      </c>
      <c r="AJ28" s="43" t="str">
        <f t="shared" si="0"/>
        <v/>
      </c>
      <c r="AK28" s="43" t="str">
        <f t="shared" si="3"/>
        <v/>
      </c>
      <c r="AL28" s="43">
        <f t="shared" si="4"/>
        <v>0</v>
      </c>
      <c r="AM28" s="43" t="str">
        <f t="shared" si="5"/>
        <v/>
      </c>
      <c r="AN28" s="43"/>
      <c r="AO28" s="43" t="str">
        <f t="shared" si="6"/>
        <v/>
      </c>
      <c r="AP28" s="43" t="str">
        <f t="shared" si="7"/>
        <v/>
      </c>
      <c r="AQ28" s="43"/>
      <c r="AR28" s="43"/>
      <c r="AS28" s="43"/>
      <c r="AT28" s="43" t="str">
        <f t="shared" si="8"/>
        <v/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>
        <f t="shared" si="9"/>
        <v>0</v>
      </c>
      <c r="BI28" s="129"/>
      <c r="BJ28" s="253"/>
    </row>
    <row r="29" spans="1:251" s="207" customFormat="1" x14ac:dyDescent="0.25">
      <c r="A29" s="43"/>
      <c r="B29" s="201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 t="str">
        <f t="shared" si="1"/>
        <v/>
      </c>
      <c r="AI29" s="43" t="str">
        <f t="shared" si="2"/>
        <v/>
      </c>
      <c r="AJ29" s="43" t="str">
        <f t="shared" si="0"/>
        <v/>
      </c>
      <c r="AK29" s="43" t="str">
        <f t="shared" si="3"/>
        <v/>
      </c>
      <c r="AL29" s="43">
        <f t="shared" si="4"/>
        <v>0</v>
      </c>
      <c r="AM29" s="43" t="str">
        <f t="shared" si="5"/>
        <v/>
      </c>
      <c r="AN29" s="43"/>
      <c r="AO29" s="43" t="str">
        <f t="shared" si="6"/>
        <v/>
      </c>
      <c r="AP29" s="43" t="str">
        <f t="shared" si="7"/>
        <v/>
      </c>
      <c r="AQ29" s="43"/>
      <c r="AR29" s="43"/>
      <c r="AS29" s="43"/>
      <c r="AT29" s="43" t="str">
        <f t="shared" si="8"/>
        <v/>
      </c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>
        <f t="shared" si="9"/>
        <v>0</v>
      </c>
      <c r="BI29" s="129"/>
      <c r="BJ29" s="253"/>
    </row>
    <row r="30" spans="1:251" s="207" customFormat="1" x14ac:dyDescent="0.25">
      <c r="A30" s="43"/>
      <c r="B30" s="201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 t="str">
        <f t="shared" si="1"/>
        <v/>
      </c>
      <c r="AI30" s="43" t="str">
        <f t="shared" si="2"/>
        <v/>
      </c>
      <c r="AJ30" s="43" t="str">
        <f t="shared" si="0"/>
        <v/>
      </c>
      <c r="AK30" s="43" t="str">
        <f t="shared" si="3"/>
        <v/>
      </c>
      <c r="AL30" s="43">
        <f t="shared" si="4"/>
        <v>0</v>
      </c>
      <c r="AM30" s="43" t="str">
        <f t="shared" si="5"/>
        <v/>
      </c>
      <c r="AN30" s="43"/>
      <c r="AO30" s="43" t="str">
        <f t="shared" si="6"/>
        <v/>
      </c>
      <c r="AP30" s="43" t="str">
        <f t="shared" si="7"/>
        <v/>
      </c>
      <c r="AQ30" s="43"/>
      <c r="AR30" s="43"/>
      <c r="AS30" s="43"/>
      <c r="AT30" s="43" t="str">
        <f t="shared" si="8"/>
        <v/>
      </c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>
        <f t="shared" si="9"/>
        <v>0</v>
      </c>
      <c r="BI30" s="129"/>
      <c r="BJ30" s="253"/>
    </row>
    <row r="31" spans="1:251" s="207" customFormat="1" x14ac:dyDescent="0.25">
      <c r="A31" s="43"/>
      <c r="B31" s="201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 t="str">
        <f t="shared" si="1"/>
        <v/>
      </c>
      <c r="AI31" s="43" t="str">
        <f t="shared" si="2"/>
        <v/>
      </c>
      <c r="AJ31" s="43" t="str">
        <f t="shared" si="0"/>
        <v/>
      </c>
      <c r="AK31" s="43" t="str">
        <f t="shared" si="3"/>
        <v/>
      </c>
      <c r="AL31" s="43">
        <f t="shared" si="4"/>
        <v>0</v>
      </c>
      <c r="AM31" s="43" t="str">
        <f t="shared" si="5"/>
        <v/>
      </c>
      <c r="AN31" s="43"/>
      <c r="AO31" s="43" t="str">
        <f t="shared" si="6"/>
        <v/>
      </c>
      <c r="AP31" s="43" t="str">
        <f t="shared" si="7"/>
        <v/>
      </c>
      <c r="AQ31" s="43"/>
      <c r="AR31" s="43"/>
      <c r="AS31" s="43"/>
      <c r="AT31" s="43" t="str">
        <f t="shared" si="8"/>
        <v/>
      </c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>
        <f t="shared" si="9"/>
        <v>0</v>
      </c>
      <c r="BI31" s="129"/>
      <c r="BJ31" s="253"/>
    </row>
    <row r="32" spans="1:251" s="207" customFormat="1" x14ac:dyDescent="0.25">
      <c r="A32" s="43"/>
      <c r="B32" s="201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 t="str">
        <f t="shared" si="1"/>
        <v/>
      </c>
      <c r="AI32" s="43" t="str">
        <f t="shared" si="2"/>
        <v/>
      </c>
      <c r="AJ32" s="43" t="str">
        <f t="shared" si="0"/>
        <v/>
      </c>
      <c r="AK32" s="43" t="str">
        <f t="shared" si="3"/>
        <v/>
      </c>
      <c r="AL32" s="43">
        <f t="shared" si="4"/>
        <v>0</v>
      </c>
      <c r="AM32" s="43" t="str">
        <f t="shared" si="5"/>
        <v/>
      </c>
      <c r="AN32" s="43"/>
      <c r="AO32" s="43" t="str">
        <f t="shared" si="6"/>
        <v/>
      </c>
      <c r="AP32" s="43" t="str">
        <f t="shared" si="7"/>
        <v/>
      </c>
      <c r="AQ32" s="43"/>
      <c r="AR32" s="43"/>
      <c r="AS32" s="43"/>
      <c r="AT32" s="43" t="str">
        <f t="shared" si="8"/>
        <v/>
      </c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>
        <f t="shared" si="9"/>
        <v>0</v>
      </c>
      <c r="BI32" s="129"/>
      <c r="BJ32" s="253"/>
    </row>
    <row r="33" spans="1:169" s="207" customFormat="1" x14ac:dyDescent="0.25">
      <c r="A33" s="43"/>
      <c r="B33" s="201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 t="str">
        <f t="shared" si="1"/>
        <v/>
      </c>
      <c r="AI33" s="43" t="str">
        <f t="shared" si="2"/>
        <v/>
      </c>
      <c r="AJ33" s="43" t="str">
        <f t="shared" si="0"/>
        <v/>
      </c>
      <c r="AK33" s="43" t="str">
        <f t="shared" si="3"/>
        <v/>
      </c>
      <c r="AL33" s="43">
        <f t="shared" si="4"/>
        <v>0</v>
      </c>
      <c r="AM33" s="43" t="str">
        <f t="shared" si="5"/>
        <v/>
      </c>
      <c r="AN33" s="43"/>
      <c r="AO33" s="43" t="str">
        <f t="shared" si="6"/>
        <v/>
      </c>
      <c r="AP33" s="43" t="str">
        <f t="shared" si="7"/>
        <v/>
      </c>
      <c r="AQ33" s="43"/>
      <c r="AR33" s="43"/>
      <c r="AS33" s="43"/>
      <c r="AT33" s="43" t="str">
        <f t="shared" si="8"/>
        <v/>
      </c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>
        <f t="shared" si="9"/>
        <v>0</v>
      </c>
      <c r="BI33" s="129"/>
      <c r="BJ33" s="253"/>
    </row>
    <row r="34" spans="1:169" s="207" customFormat="1" x14ac:dyDescent="0.25">
      <c r="A34" s="43"/>
      <c r="B34" s="201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 t="str">
        <f t="shared" si="1"/>
        <v/>
      </c>
      <c r="AI34" s="43" t="str">
        <f t="shared" si="2"/>
        <v/>
      </c>
      <c r="AJ34" s="43" t="str">
        <f t="shared" si="0"/>
        <v/>
      </c>
      <c r="AK34" s="43" t="str">
        <f t="shared" si="3"/>
        <v/>
      </c>
      <c r="AL34" s="43">
        <f t="shared" si="4"/>
        <v>0</v>
      </c>
      <c r="AM34" s="43" t="str">
        <f t="shared" si="5"/>
        <v/>
      </c>
      <c r="AN34" s="43"/>
      <c r="AO34" s="43" t="str">
        <f t="shared" si="6"/>
        <v/>
      </c>
      <c r="AP34" s="43" t="str">
        <f t="shared" si="7"/>
        <v/>
      </c>
      <c r="AQ34" s="43"/>
      <c r="AR34" s="43"/>
      <c r="AS34" s="43"/>
      <c r="AT34" s="43" t="str">
        <f t="shared" si="8"/>
        <v/>
      </c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>
        <f t="shared" si="9"/>
        <v>0</v>
      </c>
      <c r="BI34" s="129"/>
      <c r="BJ34" s="253"/>
    </row>
    <row r="35" spans="1:169" s="207" customFormat="1" x14ac:dyDescent="0.25">
      <c r="A35" s="43"/>
      <c r="B35" s="201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 t="str">
        <f t="shared" si="1"/>
        <v/>
      </c>
      <c r="AI35" s="43" t="str">
        <f t="shared" si="2"/>
        <v/>
      </c>
      <c r="AJ35" s="43" t="str">
        <f t="shared" si="0"/>
        <v/>
      </c>
      <c r="AK35" s="43" t="str">
        <f t="shared" si="3"/>
        <v/>
      </c>
      <c r="AL35" s="43">
        <f t="shared" si="4"/>
        <v>0</v>
      </c>
      <c r="AM35" s="43" t="str">
        <f t="shared" si="5"/>
        <v/>
      </c>
      <c r="AN35" s="43"/>
      <c r="AO35" s="43" t="str">
        <f t="shared" si="6"/>
        <v/>
      </c>
      <c r="AP35" s="43" t="str">
        <f t="shared" si="7"/>
        <v/>
      </c>
      <c r="AQ35" s="43"/>
      <c r="AR35" s="43"/>
      <c r="AS35" s="43"/>
      <c r="AT35" s="43" t="str">
        <f t="shared" si="8"/>
        <v/>
      </c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>
        <f t="shared" si="9"/>
        <v>0</v>
      </c>
      <c r="BI35" s="129"/>
      <c r="BJ35" s="253"/>
    </row>
    <row r="36" spans="1:169" s="207" customFormat="1" x14ac:dyDescent="0.25">
      <c r="A36" s="43"/>
      <c r="B36" s="201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 t="str">
        <f t="shared" si="1"/>
        <v/>
      </c>
      <c r="AI36" s="43" t="str">
        <f t="shared" si="2"/>
        <v/>
      </c>
      <c r="AJ36" s="43" t="str">
        <f t="shared" si="0"/>
        <v/>
      </c>
      <c r="AK36" s="43" t="str">
        <f t="shared" si="3"/>
        <v/>
      </c>
      <c r="AL36" s="43">
        <f t="shared" si="4"/>
        <v>0</v>
      </c>
      <c r="AM36" s="43" t="str">
        <f t="shared" si="5"/>
        <v/>
      </c>
      <c r="AN36" s="43"/>
      <c r="AO36" s="43" t="str">
        <f t="shared" si="6"/>
        <v/>
      </c>
      <c r="AP36" s="43" t="str">
        <f t="shared" si="7"/>
        <v/>
      </c>
      <c r="AQ36" s="43"/>
      <c r="AR36" s="43"/>
      <c r="AS36" s="43"/>
      <c r="AT36" s="43" t="str">
        <f t="shared" si="8"/>
        <v/>
      </c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>
        <f t="shared" si="9"/>
        <v>0</v>
      </c>
      <c r="BI36" s="129"/>
      <c r="BJ36" s="253"/>
    </row>
    <row r="37" spans="1:169" s="207" customFormat="1" x14ac:dyDescent="0.25">
      <c r="A37" s="43"/>
      <c r="B37" s="201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 t="str">
        <f t="shared" si="1"/>
        <v/>
      </c>
      <c r="AI37" s="43" t="str">
        <f t="shared" si="2"/>
        <v/>
      </c>
      <c r="AJ37" s="43" t="str">
        <f t="shared" si="0"/>
        <v/>
      </c>
      <c r="AK37" s="43" t="str">
        <f t="shared" si="3"/>
        <v/>
      </c>
      <c r="AL37" s="43">
        <f t="shared" si="4"/>
        <v>0</v>
      </c>
      <c r="AM37" s="43" t="str">
        <f t="shared" si="5"/>
        <v/>
      </c>
      <c r="AN37" s="43"/>
      <c r="AO37" s="43" t="str">
        <f t="shared" si="6"/>
        <v/>
      </c>
      <c r="AP37" s="43" t="str">
        <f t="shared" si="7"/>
        <v/>
      </c>
      <c r="AQ37" s="43"/>
      <c r="AR37" s="43"/>
      <c r="AS37" s="43"/>
      <c r="AT37" s="43" t="str">
        <f t="shared" si="8"/>
        <v/>
      </c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>
        <f t="shared" si="9"/>
        <v>0</v>
      </c>
      <c r="BI37" s="129"/>
      <c r="BJ37" s="253"/>
    </row>
    <row r="38" spans="1:169" s="207" customFormat="1" x14ac:dyDescent="0.25">
      <c r="A38" s="43"/>
      <c r="B38" s="201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 t="str">
        <f t="shared" si="1"/>
        <v/>
      </c>
      <c r="AI38" s="43" t="str">
        <f t="shared" si="2"/>
        <v/>
      </c>
      <c r="AJ38" s="43" t="str">
        <f t="shared" si="0"/>
        <v/>
      </c>
      <c r="AK38" s="43" t="str">
        <f t="shared" si="3"/>
        <v/>
      </c>
      <c r="AL38" s="43">
        <f t="shared" si="4"/>
        <v>0</v>
      </c>
      <c r="AM38" s="43" t="str">
        <f t="shared" si="5"/>
        <v/>
      </c>
      <c r="AN38" s="43"/>
      <c r="AO38" s="43" t="str">
        <f t="shared" si="6"/>
        <v/>
      </c>
      <c r="AP38" s="43" t="str">
        <f t="shared" si="7"/>
        <v/>
      </c>
      <c r="AQ38" s="43"/>
      <c r="AR38" s="43"/>
      <c r="AS38" s="43"/>
      <c r="AT38" s="43" t="str">
        <f t="shared" si="8"/>
        <v/>
      </c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>
        <f t="shared" si="9"/>
        <v>0</v>
      </c>
      <c r="BI38" s="129"/>
      <c r="BJ38" s="253"/>
    </row>
    <row r="39" spans="1:169" s="207" customFormat="1" x14ac:dyDescent="0.25">
      <c r="A39" s="43"/>
      <c r="B39" s="201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 t="str">
        <f t="shared" si="1"/>
        <v/>
      </c>
      <c r="AI39" s="43" t="str">
        <f t="shared" si="2"/>
        <v/>
      </c>
      <c r="AJ39" s="43" t="str">
        <f t="shared" si="0"/>
        <v/>
      </c>
      <c r="AK39" s="43" t="str">
        <f t="shared" si="3"/>
        <v/>
      </c>
      <c r="AL39" s="43">
        <f t="shared" si="4"/>
        <v>0</v>
      </c>
      <c r="AM39" s="43" t="str">
        <f t="shared" si="5"/>
        <v/>
      </c>
      <c r="AN39" s="43"/>
      <c r="AO39" s="43" t="str">
        <f t="shared" si="6"/>
        <v/>
      </c>
      <c r="AP39" s="43" t="str">
        <f t="shared" si="7"/>
        <v/>
      </c>
      <c r="AQ39" s="43"/>
      <c r="AR39" s="43"/>
      <c r="AS39" s="43"/>
      <c r="AT39" s="43" t="str">
        <f t="shared" si="8"/>
        <v/>
      </c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>
        <f t="shared" si="9"/>
        <v>0</v>
      </c>
      <c r="BI39" s="129"/>
      <c r="BJ39" s="253"/>
    </row>
    <row r="40" spans="1:169" s="207" customFormat="1" x14ac:dyDescent="0.25">
      <c r="A40" s="43"/>
      <c r="B40" s="201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 t="str">
        <f t="shared" si="1"/>
        <v/>
      </c>
      <c r="AI40" s="43" t="str">
        <f t="shared" si="2"/>
        <v/>
      </c>
      <c r="AJ40" s="43" t="str">
        <f t="shared" si="0"/>
        <v/>
      </c>
      <c r="AK40" s="43" t="str">
        <f t="shared" si="3"/>
        <v/>
      </c>
      <c r="AL40" s="43">
        <f t="shared" si="4"/>
        <v>0</v>
      </c>
      <c r="AM40" s="43" t="str">
        <f t="shared" si="5"/>
        <v/>
      </c>
      <c r="AN40" s="43"/>
      <c r="AO40" s="43" t="str">
        <f t="shared" si="6"/>
        <v/>
      </c>
      <c r="AP40" s="43" t="str">
        <f t="shared" si="7"/>
        <v/>
      </c>
      <c r="AQ40" s="43"/>
      <c r="AR40" s="43"/>
      <c r="AS40" s="43"/>
      <c r="AT40" s="43" t="str">
        <f t="shared" si="8"/>
        <v/>
      </c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>
        <f t="shared" si="9"/>
        <v>0</v>
      </c>
      <c r="BJ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/>
      <c r="DZ40" s="129"/>
      <c r="EA40" s="129"/>
      <c r="EB40" s="129"/>
      <c r="EC40" s="129"/>
      <c r="ED40" s="129"/>
      <c r="EE40" s="129"/>
      <c r="EF40" s="129"/>
      <c r="EG40" s="129"/>
      <c r="EH40" s="129"/>
      <c r="EI40" s="129"/>
      <c r="EJ40" s="129"/>
      <c r="EK40" s="129"/>
      <c r="EL40" s="129"/>
      <c r="EM40" s="129"/>
      <c r="EN40" s="129"/>
      <c r="EO40" s="129"/>
      <c r="EP40" s="129"/>
      <c r="EQ40" s="129"/>
      <c r="ER40" s="129"/>
      <c r="ES40" s="129"/>
      <c r="ET40" s="129"/>
      <c r="EU40" s="129"/>
      <c r="EV40" s="129"/>
      <c r="EW40" s="129"/>
      <c r="EX40" s="129"/>
      <c r="EY40" s="129"/>
      <c r="EZ40" s="129"/>
      <c r="FA40" s="129"/>
      <c r="FB40" s="129"/>
      <c r="FC40" s="129"/>
      <c r="FD40" s="129"/>
      <c r="FE40" s="129"/>
      <c r="FF40" s="129"/>
      <c r="FG40" s="129"/>
      <c r="FH40" s="129"/>
      <c r="FI40" s="129"/>
      <c r="FJ40" s="129"/>
      <c r="FK40" s="129"/>
      <c r="FL40" s="129"/>
      <c r="FM40" s="129"/>
    </row>
    <row r="41" spans="1:169" s="129" customFormat="1" x14ac:dyDescent="0.25">
      <c r="A41" s="43"/>
      <c r="B41" s="201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 t="str">
        <f t="shared" si="1"/>
        <v/>
      </c>
      <c r="AI41" s="43" t="str">
        <f t="shared" si="2"/>
        <v/>
      </c>
      <c r="AJ41" s="43" t="str">
        <f t="shared" si="0"/>
        <v/>
      </c>
      <c r="AK41" s="43" t="str">
        <f t="shared" si="3"/>
        <v/>
      </c>
      <c r="AL41" s="43">
        <f t="shared" si="4"/>
        <v>0</v>
      </c>
      <c r="AM41" s="43" t="str">
        <f t="shared" si="5"/>
        <v/>
      </c>
      <c r="AN41" s="43"/>
      <c r="AO41" s="43" t="str">
        <f t="shared" si="6"/>
        <v/>
      </c>
      <c r="AP41" s="43" t="str">
        <f t="shared" si="7"/>
        <v/>
      </c>
      <c r="AQ41" s="43"/>
      <c r="AR41" s="43"/>
      <c r="AS41" s="43"/>
      <c r="AT41" s="43" t="str">
        <f t="shared" si="8"/>
        <v/>
      </c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>
        <f t="shared" si="9"/>
        <v>0</v>
      </c>
      <c r="BI41" s="207"/>
      <c r="BJ41" s="207"/>
      <c r="BK41" s="207"/>
      <c r="BL41" s="207"/>
      <c r="BM41" s="207"/>
      <c r="BN41" s="207"/>
      <c r="BO41" s="207"/>
      <c r="BP41" s="207"/>
      <c r="BQ41" s="207"/>
      <c r="BR41" s="207"/>
      <c r="BS41" s="207"/>
      <c r="BT41" s="207"/>
      <c r="BU41" s="207"/>
      <c r="BV41" s="207"/>
      <c r="BW41" s="207"/>
      <c r="BX41" s="207"/>
      <c r="BY41" s="207"/>
      <c r="BZ41" s="207"/>
      <c r="CA41" s="207"/>
      <c r="CB41" s="207"/>
      <c r="CC41" s="207"/>
      <c r="CD41" s="207"/>
      <c r="CE41" s="207"/>
      <c r="CF41" s="207"/>
      <c r="CG41" s="207"/>
      <c r="CH41" s="207"/>
      <c r="CI41" s="207"/>
      <c r="CJ41" s="207"/>
      <c r="CK41" s="207"/>
      <c r="CL41" s="207"/>
      <c r="CM41" s="207"/>
      <c r="CN41" s="207"/>
      <c r="CO41" s="207"/>
      <c r="CP41" s="207"/>
      <c r="CQ41" s="207"/>
      <c r="CR41" s="207"/>
      <c r="CS41" s="207"/>
      <c r="CT41" s="207"/>
      <c r="CU41" s="207"/>
      <c r="CV41" s="207"/>
      <c r="CW41" s="207"/>
      <c r="CX41" s="207"/>
      <c r="CY41" s="207"/>
      <c r="CZ41" s="207"/>
      <c r="DA41" s="207"/>
      <c r="DB41" s="207"/>
      <c r="DC41" s="207"/>
      <c r="DD41" s="207"/>
      <c r="DE41" s="207"/>
      <c r="DF41" s="207"/>
      <c r="DG41" s="207"/>
      <c r="DH41" s="207"/>
      <c r="DI41" s="207"/>
      <c r="DJ41" s="207"/>
      <c r="DK41" s="207"/>
      <c r="DL41" s="207"/>
      <c r="DM41" s="207"/>
      <c r="DN41" s="207"/>
      <c r="DO41" s="207"/>
      <c r="DP41" s="207"/>
      <c r="DQ41" s="207"/>
      <c r="DR41" s="207"/>
      <c r="DS41" s="207"/>
      <c r="DT41" s="207"/>
      <c r="DU41" s="207"/>
      <c r="DV41" s="207"/>
      <c r="DW41" s="207"/>
      <c r="DX41" s="207"/>
      <c r="DY41" s="207"/>
      <c r="DZ41" s="207"/>
      <c r="EA41" s="207"/>
      <c r="EB41" s="207"/>
      <c r="EC41" s="207"/>
      <c r="ED41" s="207"/>
      <c r="EE41" s="207"/>
      <c r="EF41" s="207"/>
      <c r="EG41" s="207"/>
      <c r="EH41" s="207"/>
      <c r="EI41" s="207"/>
      <c r="EJ41" s="207"/>
      <c r="EK41" s="207"/>
      <c r="EL41" s="207"/>
      <c r="EM41" s="207"/>
      <c r="EN41" s="207"/>
      <c r="EO41" s="207"/>
      <c r="EP41" s="207"/>
      <c r="EQ41" s="207"/>
      <c r="ER41" s="207"/>
      <c r="ES41" s="207"/>
      <c r="ET41" s="207"/>
      <c r="EU41" s="207"/>
      <c r="EV41" s="207"/>
      <c r="EW41" s="207"/>
      <c r="EX41" s="207"/>
      <c r="EY41" s="207"/>
      <c r="EZ41" s="207"/>
      <c r="FA41" s="207"/>
      <c r="FB41" s="207"/>
      <c r="FC41" s="207"/>
      <c r="FD41" s="207"/>
      <c r="FE41" s="207"/>
      <c r="FF41" s="207"/>
      <c r="FG41" s="207"/>
      <c r="FH41" s="207"/>
      <c r="FI41" s="207"/>
      <c r="FJ41" s="207"/>
      <c r="FK41" s="207"/>
      <c r="FL41" s="207"/>
      <c r="FM41" s="207"/>
    </row>
    <row r="42" spans="1:169" s="207" customFormat="1" x14ac:dyDescent="0.25">
      <c r="A42" s="43"/>
      <c r="B42" s="201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 t="str">
        <f t="shared" si="1"/>
        <v/>
      </c>
      <c r="AI42" s="43" t="str">
        <f t="shared" si="2"/>
        <v/>
      </c>
      <c r="AJ42" s="43" t="str">
        <f t="shared" si="0"/>
        <v/>
      </c>
      <c r="AK42" s="43" t="str">
        <f t="shared" si="3"/>
        <v/>
      </c>
      <c r="AL42" s="43">
        <f t="shared" si="4"/>
        <v>0</v>
      </c>
      <c r="AM42" s="43" t="str">
        <f t="shared" si="5"/>
        <v/>
      </c>
      <c r="AN42" s="43"/>
      <c r="AO42" s="43" t="str">
        <f t="shared" si="6"/>
        <v/>
      </c>
      <c r="AP42" s="43" t="str">
        <f t="shared" si="7"/>
        <v/>
      </c>
      <c r="AQ42" s="43"/>
      <c r="AR42" s="43"/>
      <c r="AS42" s="43"/>
      <c r="AT42" s="43" t="str">
        <f t="shared" si="8"/>
        <v/>
      </c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>
        <f t="shared" si="9"/>
        <v>0</v>
      </c>
      <c r="BG42" s="129"/>
      <c r="BH42" s="129"/>
    </row>
    <row r="43" spans="1:169" s="129" customFormat="1" ht="13.5" customHeight="1" x14ac:dyDescent="0.25">
      <c r="A43" s="43"/>
      <c r="B43" s="201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 t="str">
        <f t="shared" si="1"/>
        <v/>
      </c>
      <c r="AI43" s="43" t="str">
        <f t="shared" si="2"/>
        <v/>
      </c>
      <c r="AJ43" s="43" t="str">
        <f t="shared" si="0"/>
        <v/>
      </c>
      <c r="AK43" s="43" t="str">
        <f t="shared" si="3"/>
        <v/>
      </c>
      <c r="AL43" s="43">
        <f t="shared" si="4"/>
        <v>0</v>
      </c>
      <c r="AM43" s="43" t="str">
        <f t="shared" si="5"/>
        <v/>
      </c>
      <c r="AN43" s="43"/>
      <c r="AO43" s="43" t="str">
        <f t="shared" si="6"/>
        <v/>
      </c>
      <c r="AP43" s="43" t="str">
        <f t="shared" si="7"/>
        <v/>
      </c>
      <c r="AQ43" s="43"/>
      <c r="AR43" s="43"/>
      <c r="AS43" s="43"/>
      <c r="AT43" s="43" t="str">
        <f t="shared" si="8"/>
        <v/>
      </c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>
        <f t="shared" si="9"/>
        <v>0</v>
      </c>
      <c r="BI43" s="207"/>
      <c r="BJ43" s="207"/>
      <c r="BK43" s="207"/>
      <c r="BL43" s="207"/>
      <c r="BM43" s="207"/>
      <c r="BN43" s="207"/>
      <c r="BO43" s="207"/>
      <c r="BP43" s="207"/>
      <c r="BQ43" s="207"/>
      <c r="BR43" s="207"/>
      <c r="BS43" s="207"/>
      <c r="BT43" s="207"/>
      <c r="BU43" s="207"/>
      <c r="BV43" s="207"/>
      <c r="BW43" s="207"/>
      <c r="BX43" s="207"/>
      <c r="BY43" s="207"/>
      <c r="BZ43" s="207"/>
      <c r="CA43" s="207"/>
      <c r="CB43" s="207"/>
      <c r="CC43" s="207"/>
      <c r="CD43" s="207"/>
      <c r="CE43" s="207"/>
      <c r="CF43" s="207"/>
      <c r="CG43" s="207"/>
      <c r="CH43" s="207"/>
      <c r="CI43" s="207"/>
      <c r="CJ43" s="207"/>
      <c r="CK43" s="207"/>
      <c r="CL43" s="207"/>
      <c r="CM43" s="207"/>
      <c r="CN43" s="207"/>
      <c r="CO43" s="207"/>
      <c r="CP43" s="207"/>
      <c r="CQ43" s="207"/>
      <c r="CR43" s="207"/>
      <c r="CS43" s="207"/>
      <c r="CT43" s="207"/>
      <c r="CU43" s="207"/>
      <c r="CV43" s="207"/>
      <c r="CW43" s="207"/>
      <c r="CX43" s="207"/>
      <c r="CY43" s="207"/>
      <c r="CZ43" s="207"/>
      <c r="DA43" s="207"/>
      <c r="DB43" s="207"/>
      <c r="DC43" s="207"/>
      <c r="DD43" s="207"/>
      <c r="DE43" s="207"/>
      <c r="DF43" s="207"/>
      <c r="DG43" s="207"/>
      <c r="DH43" s="207"/>
      <c r="DI43" s="207"/>
      <c r="DJ43" s="207"/>
      <c r="DK43" s="207"/>
      <c r="DL43" s="207"/>
      <c r="DM43" s="207"/>
      <c r="DN43" s="207"/>
      <c r="DO43" s="207"/>
      <c r="DP43" s="207"/>
      <c r="DQ43" s="207"/>
      <c r="DR43" s="207"/>
      <c r="DS43" s="207"/>
      <c r="DT43" s="207"/>
      <c r="DU43" s="207"/>
      <c r="DV43" s="207"/>
      <c r="DW43" s="207"/>
      <c r="DX43" s="207"/>
      <c r="DY43" s="207"/>
      <c r="DZ43" s="207"/>
      <c r="EA43" s="207"/>
      <c r="EB43" s="207"/>
      <c r="EC43" s="207"/>
      <c r="ED43" s="207"/>
      <c r="EE43" s="207"/>
      <c r="EF43" s="207"/>
      <c r="EG43" s="207"/>
      <c r="EH43" s="207"/>
      <c r="EI43" s="207"/>
      <c r="EJ43" s="207"/>
      <c r="EK43" s="207"/>
      <c r="EL43" s="207"/>
      <c r="EM43" s="207"/>
      <c r="EN43" s="207"/>
      <c r="EO43" s="207"/>
      <c r="EP43" s="207"/>
      <c r="EQ43" s="207"/>
      <c r="ER43" s="207"/>
      <c r="ES43" s="207"/>
      <c r="ET43" s="207"/>
      <c r="EU43" s="207"/>
      <c r="EV43" s="207"/>
      <c r="EW43" s="207"/>
      <c r="EX43" s="207"/>
      <c r="EY43" s="207"/>
      <c r="EZ43" s="207"/>
      <c r="FA43" s="207"/>
      <c r="FB43" s="207"/>
      <c r="FC43" s="207"/>
      <c r="FD43" s="207"/>
      <c r="FE43" s="207"/>
      <c r="FF43" s="207"/>
      <c r="FG43" s="207"/>
      <c r="FH43" s="207"/>
      <c r="FI43" s="207"/>
      <c r="FJ43" s="207"/>
      <c r="FK43" s="207"/>
      <c r="FL43" s="207"/>
      <c r="FM43" s="207"/>
    </row>
    <row r="44" spans="1:169" s="129" customFormat="1" ht="12.75" customHeight="1" x14ac:dyDescent="0.25">
      <c r="A44" s="43"/>
      <c r="B44" s="201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 t="str">
        <f t="shared" si="1"/>
        <v/>
      </c>
      <c r="AI44" s="43" t="str">
        <f t="shared" si="2"/>
        <v/>
      </c>
      <c r="AJ44" s="43" t="str">
        <f t="shared" si="0"/>
        <v/>
      </c>
      <c r="AK44" s="43" t="str">
        <f t="shared" si="3"/>
        <v/>
      </c>
      <c r="AL44" s="43">
        <f t="shared" si="4"/>
        <v>0</v>
      </c>
      <c r="AM44" s="43" t="str">
        <f t="shared" si="5"/>
        <v/>
      </c>
      <c r="AN44" s="43"/>
      <c r="AO44" s="43" t="str">
        <f t="shared" si="6"/>
        <v/>
      </c>
      <c r="AP44" s="43" t="str">
        <f t="shared" si="7"/>
        <v/>
      </c>
      <c r="AQ44" s="43"/>
      <c r="AR44" s="43"/>
      <c r="AS44" s="43"/>
      <c r="AT44" s="43" t="str">
        <f t="shared" si="8"/>
        <v/>
      </c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>
        <f t="shared" si="9"/>
        <v>0</v>
      </c>
      <c r="BI44" s="207"/>
      <c r="BJ44" s="207"/>
      <c r="BK44" s="207"/>
      <c r="BL44" s="207"/>
      <c r="BM44" s="207"/>
      <c r="BN44" s="207"/>
      <c r="BO44" s="207"/>
      <c r="BP44" s="207"/>
      <c r="BQ44" s="207"/>
      <c r="BR44" s="207"/>
      <c r="BS44" s="207"/>
      <c r="BT44" s="207"/>
      <c r="BU44" s="207"/>
      <c r="BV44" s="207"/>
      <c r="BW44" s="207"/>
      <c r="BX44" s="207"/>
      <c r="BY44" s="207"/>
      <c r="BZ44" s="207"/>
      <c r="CA44" s="207"/>
      <c r="CB44" s="207"/>
      <c r="CC44" s="207"/>
      <c r="CD44" s="207"/>
      <c r="CE44" s="207"/>
      <c r="CF44" s="207"/>
      <c r="CG44" s="207"/>
      <c r="CH44" s="207"/>
      <c r="CI44" s="207"/>
      <c r="CJ44" s="207"/>
      <c r="CK44" s="207"/>
      <c r="CL44" s="207"/>
      <c r="CM44" s="207"/>
      <c r="CN44" s="207"/>
      <c r="CO44" s="207"/>
      <c r="CP44" s="207"/>
      <c r="CQ44" s="207"/>
      <c r="CR44" s="207"/>
      <c r="CS44" s="207"/>
      <c r="CT44" s="207"/>
      <c r="CU44" s="207"/>
      <c r="CV44" s="207"/>
      <c r="CW44" s="207"/>
      <c r="CX44" s="207"/>
      <c r="CY44" s="207"/>
      <c r="CZ44" s="207"/>
      <c r="DA44" s="207"/>
      <c r="DB44" s="207"/>
      <c r="DC44" s="207"/>
      <c r="DD44" s="207"/>
      <c r="DE44" s="207"/>
      <c r="DF44" s="207"/>
      <c r="DG44" s="207"/>
      <c r="DH44" s="207"/>
      <c r="DI44" s="207"/>
      <c r="DJ44" s="207"/>
      <c r="DK44" s="207"/>
      <c r="DL44" s="207"/>
      <c r="DM44" s="207"/>
      <c r="DN44" s="207"/>
      <c r="DO44" s="207"/>
      <c r="DP44" s="207"/>
      <c r="DQ44" s="207"/>
      <c r="DR44" s="207"/>
      <c r="DS44" s="207"/>
      <c r="DT44" s="207"/>
      <c r="DU44" s="207"/>
      <c r="DV44" s="207"/>
      <c r="DW44" s="207"/>
      <c r="DX44" s="207"/>
      <c r="DY44" s="207"/>
      <c r="DZ44" s="207"/>
      <c r="EA44" s="207"/>
      <c r="EB44" s="207"/>
      <c r="EC44" s="207"/>
      <c r="ED44" s="207"/>
      <c r="EE44" s="207"/>
      <c r="EF44" s="207"/>
      <c r="EG44" s="207"/>
      <c r="EH44" s="207"/>
      <c r="EI44" s="207"/>
      <c r="EJ44" s="207"/>
      <c r="EK44" s="207"/>
      <c r="EL44" s="207"/>
      <c r="EM44" s="207"/>
      <c r="EN44" s="207"/>
      <c r="EO44" s="207"/>
      <c r="EP44" s="207"/>
      <c r="EQ44" s="207"/>
      <c r="ER44" s="207"/>
      <c r="ES44" s="207"/>
      <c r="ET44" s="207"/>
      <c r="EU44" s="207"/>
      <c r="EV44" s="207"/>
      <c r="EW44" s="207"/>
      <c r="EX44" s="207"/>
      <c r="EY44" s="207"/>
      <c r="EZ44" s="207"/>
      <c r="FA44" s="207"/>
      <c r="FB44" s="207"/>
      <c r="FC44" s="207"/>
      <c r="FD44" s="207"/>
      <c r="FE44" s="207"/>
      <c r="FF44" s="207"/>
      <c r="FG44" s="207"/>
      <c r="FH44" s="207"/>
      <c r="FI44" s="207"/>
      <c r="FJ44" s="207"/>
      <c r="FK44" s="207"/>
      <c r="FL44" s="207"/>
      <c r="FM44" s="207"/>
    </row>
    <row r="45" spans="1:169" s="207" customFormat="1" x14ac:dyDescent="0.25">
      <c r="A45" s="43"/>
      <c r="B45" s="201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 t="str">
        <f t="shared" si="1"/>
        <v/>
      </c>
      <c r="AI45" s="43" t="str">
        <f t="shared" si="2"/>
        <v/>
      </c>
      <c r="AJ45" s="43" t="str">
        <f t="shared" si="0"/>
        <v/>
      </c>
      <c r="AK45" s="43" t="str">
        <f t="shared" si="3"/>
        <v/>
      </c>
      <c r="AL45" s="43">
        <f t="shared" si="4"/>
        <v>0</v>
      </c>
      <c r="AM45" s="43" t="str">
        <f t="shared" si="5"/>
        <v/>
      </c>
      <c r="AN45" s="43"/>
      <c r="AO45" s="43" t="str">
        <f t="shared" si="6"/>
        <v/>
      </c>
      <c r="AP45" s="43" t="str">
        <f t="shared" si="7"/>
        <v/>
      </c>
      <c r="AQ45" s="43"/>
      <c r="AR45" s="43"/>
      <c r="AS45" s="43"/>
      <c r="AT45" s="43" t="str">
        <f t="shared" si="8"/>
        <v/>
      </c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>
        <f t="shared" si="9"/>
        <v>0</v>
      </c>
      <c r="BG45" s="129"/>
      <c r="BH45" s="129"/>
    </row>
    <row r="46" spans="1:169" s="129" customFormat="1" x14ac:dyDescent="0.25">
      <c r="A46" s="43"/>
      <c r="B46" s="201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 t="str">
        <f t="shared" si="1"/>
        <v/>
      </c>
      <c r="AI46" s="43" t="str">
        <f t="shared" si="2"/>
        <v/>
      </c>
      <c r="AJ46" s="43" t="str">
        <f t="shared" si="0"/>
        <v/>
      </c>
      <c r="AK46" s="43" t="str">
        <f t="shared" si="3"/>
        <v/>
      </c>
      <c r="AL46" s="43">
        <f t="shared" si="4"/>
        <v>0</v>
      </c>
      <c r="AM46" s="43" t="str">
        <f t="shared" si="5"/>
        <v/>
      </c>
      <c r="AN46" s="43"/>
      <c r="AO46" s="43" t="str">
        <f t="shared" si="6"/>
        <v/>
      </c>
      <c r="AP46" s="43" t="str">
        <f t="shared" si="7"/>
        <v/>
      </c>
      <c r="AQ46" s="43"/>
      <c r="AR46" s="43"/>
      <c r="AS46" s="43"/>
      <c r="AT46" s="43" t="str">
        <f t="shared" si="8"/>
        <v/>
      </c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>
        <f t="shared" si="9"/>
        <v>0</v>
      </c>
      <c r="BI46" s="207"/>
      <c r="BJ46" s="207"/>
      <c r="BK46" s="207"/>
      <c r="BL46" s="207"/>
      <c r="BM46" s="207"/>
      <c r="BN46" s="207"/>
      <c r="BO46" s="207"/>
      <c r="BP46" s="207"/>
      <c r="BQ46" s="207"/>
      <c r="BR46" s="207"/>
      <c r="BS46" s="207"/>
      <c r="BT46" s="207"/>
      <c r="BU46" s="207"/>
      <c r="BV46" s="207"/>
      <c r="BW46" s="207"/>
      <c r="BX46" s="207"/>
      <c r="BY46" s="207"/>
      <c r="BZ46" s="207"/>
      <c r="CA46" s="207"/>
      <c r="CB46" s="207"/>
      <c r="CC46" s="207"/>
      <c r="CD46" s="207"/>
      <c r="CE46" s="207"/>
      <c r="CF46" s="207"/>
      <c r="CG46" s="207"/>
      <c r="CH46" s="207"/>
      <c r="CI46" s="207"/>
      <c r="CJ46" s="207"/>
      <c r="CK46" s="207"/>
      <c r="CL46" s="207"/>
      <c r="CM46" s="207"/>
      <c r="CN46" s="207"/>
      <c r="CO46" s="207"/>
      <c r="CP46" s="207"/>
      <c r="CQ46" s="207"/>
      <c r="CR46" s="207"/>
      <c r="CS46" s="207"/>
      <c r="CT46" s="207"/>
      <c r="CU46" s="207"/>
      <c r="CV46" s="207"/>
      <c r="CW46" s="207"/>
      <c r="CX46" s="207"/>
      <c r="CY46" s="207"/>
      <c r="CZ46" s="207"/>
      <c r="DA46" s="207"/>
      <c r="DB46" s="207"/>
      <c r="DC46" s="207"/>
      <c r="DD46" s="207"/>
      <c r="DE46" s="207"/>
      <c r="DF46" s="207"/>
      <c r="DG46" s="207"/>
      <c r="DH46" s="207"/>
      <c r="DI46" s="207"/>
      <c r="DJ46" s="207"/>
      <c r="DK46" s="207"/>
      <c r="DL46" s="207"/>
      <c r="DM46" s="207"/>
      <c r="DN46" s="207"/>
      <c r="DO46" s="207"/>
      <c r="DP46" s="207"/>
      <c r="DQ46" s="207"/>
      <c r="DR46" s="207"/>
      <c r="DS46" s="207"/>
      <c r="DT46" s="207"/>
      <c r="DU46" s="207"/>
      <c r="DV46" s="207"/>
      <c r="DW46" s="207"/>
      <c r="DX46" s="207"/>
      <c r="DY46" s="207"/>
      <c r="DZ46" s="207"/>
      <c r="EA46" s="207"/>
      <c r="EB46" s="207"/>
      <c r="EC46" s="207"/>
      <c r="ED46" s="207"/>
      <c r="EE46" s="207"/>
      <c r="EF46" s="207"/>
      <c r="EG46" s="207"/>
      <c r="EH46" s="207"/>
      <c r="EI46" s="207"/>
      <c r="EJ46" s="207"/>
      <c r="EK46" s="207"/>
      <c r="EL46" s="207"/>
      <c r="EM46" s="207"/>
      <c r="EN46" s="207"/>
      <c r="EO46" s="207"/>
      <c r="EP46" s="207"/>
      <c r="EQ46" s="207"/>
      <c r="ER46" s="207"/>
      <c r="ES46" s="207"/>
      <c r="ET46" s="207"/>
      <c r="EU46" s="207"/>
      <c r="EV46" s="207"/>
      <c r="EW46" s="207"/>
      <c r="EX46" s="207"/>
      <c r="EY46" s="207"/>
      <c r="EZ46" s="207"/>
      <c r="FA46" s="207"/>
      <c r="FB46" s="207"/>
      <c r="FC46" s="207"/>
      <c r="FD46" s="207"/>
      <c r="FE46" s="207"/>
      <c r="FF46" s="207"/>
      <c r="FG46" s="207"/>
      <c r="FH46" s="207"/>
      <c r="FI46" s="207"/>
      <c r="FJ46" s="207"/>
      <c r="FK46" s="207"/>
      <c r="FL46" s="207"/>
      <c r="FM46" s="207"/>
    </row>
    <row r="47" spans="1:169" s="207" customFormat="1" x14ac:dyDescent="0.25">
      <c r="A47" s="43"/>
      <c r="B47" s="201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 t="str">
        <f t="shared" si="1"/>
        <v/>
      </c>
      <c r="AI47" s="43" t="str">
        <f t="shared" si="2"/>
        <v/>
      </c>
      <c r="AJ47" s="43" t="str">
        <f t="shared" si="0"/>
        <v/>
      </c>
      <c r="AK47" s="43" t="str">
        <f t="shared" si="3"/>
        <v/>
      </c>
      <c r="AL47" s="43">
        <f t="shared" si="4"/>
        <v>0</v>
      </c>
      <c r="AM47" s="43" t="str">
        <f t="shared" si="5"/>
        <v/>
      </c>
      <c r="AN47" s="43"/>
      <c r="AO47" s="43" t="str">
        <f t="shared" si="6"/>
        <v/>
      </c>
      <c r="AP47" s="43" t="str">
        <f t="shared" si="7"/>
        <v/>
      </c>
      <c r="AQ47" s="43"/>
      <c r="AR47" s="43"/>
      <c r="AS47" s="43"/>
      <c r="AT47" s="43" t="str">
        <f t="shared" si="8"/>
        <v/>
      </c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>
        <f t="shared" si="9"/>
        <v>0</v>
      </c>
      <c r="BG47" s="129"/>
      <c r="BH47" s="129"/>
    </row>
    <row r="48" spans="1:169" s="207" customFormat="1" x14ac:dyDescent="0.25">
      <c r="A48" s="43"/>
      <c r="B48" s="201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 t="str">
        <f t="shared" si="1"/>
        <v/>
      </c>
      <c r="AI48" s="43" t="str">
        <f t="shared" si="2"/>
        <v/>
      </c>
      <c r="AJ48" s="43" t="str">
        <f t="shared" si="0"/>
        <v/>
      </c>
      <c r="AK48" s="43" t="str">
        <f t="shared" si="3"/>
        <v/>
      </c>
      <c r="AL48" s="43" t="str">
        <f t="shared" ref="AL48" si="10">IF(N48&lt;&gt;"",0.33*G48,"")</f>
        <v/>
      </c>
      <c r="AM48" s="43" t="str">
        <f t="shared" si="5"/>
        <v/>
      </c>
      <c r="AN48" s="43"/>
      <c r="AO48" s="43" t="str">
        <f t="shared" si="6"/>
        <v/>
      </c>
      <c r="AP48" s="43" t="str">
        <f t="shared" si="7"/>
        <v/>
      </c>
      <c r="AQ48" s="43"/>
      <c r="AR48" s="43"/>
      <c r="AS48" s="43"/>
      <c r="AT48" s="43" t="str">
        <f t="shared" si="8"/>
        <v/>
      </c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>
        <f t="shared" si="9"/>
        <v>0</v>
      </c>
      <c r="BG48" s="264"/>
      <c r="BH48" s="264"/>
    </row>
    <row r="49" spans="1:60" s="207" customFormat="1" hidden="1" x14ac:dyDescent="0.25">
      <c r="A49" s="43"/>
      <c r="B49" s="201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 t="str">
        <f t="shared" si="1"/>
        <v/>
      </c>
      <c r="AI49" s="43" t="str">
        <f t="shared" si="2"/>
        <v/>
      </c>
      <c r="AJ49" s="43" t="str">
        <f t="shared" si="0"/>
        <v/>
      </c>
      <c r="AK49" s="43" t="str">
        <f t="shared" si="3"/>
        <v/>
      </c>
      <c r="AL49" s="43" t="str">
        <f t="shared" ref="AL49:AL51" si="11">IF(N49&lt;&gt;"",0.4*G49,"")</f>
        <v/>
      </c>
      <c r="AM49" s="43" t="str">
        <f t="shared" si="5"/>
        <v/>
      </c>
      <c r="AN49" s="43"/>
      <c r="AO49" s="43" t="str">
        <f t="shared" si="6"/>
        <v/>
      </c>
      <c r="AP49" s="43" t="str">
        <f t="shared" si="7"/>
        <v/>
      </c>
      <c r="AQ49" s="43"/>
      <c r="AR49" s="43"/>
      <c r="AS49" s="43"/>
      <c r="AT49" s="43" t="str">
        <f t="shared" si="8"/>
        <v/>
      </c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>
        <f t="shared" si="9"/>
        <v>0</v>
      </c>
      <c r="BG49" s="264"/>
      <c r="BH49" s="264"/>
    </row>
    <row r="50" spans="1:60" s="207" customFormat="1" hidden="1" x14ac:dyDescent="0.25">
      <c r="A50" s="43"/>
      <c r="B50" s="201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 t="str">
        <f t="shared" si="1"/>
        <v/>
      </c>
      <c r="AI50" s="43" t="str">
        <f t="shared" si="2"/>
        <v/>
      </c>
      <c r="AJ50" s="43" t="str">
        <f t="shared" si="0"/>
        <v/>
      </c>
      <c r="AK50" s="43" t="str">
        <f t="shared" si="3"/>
        <v/>
      </c>
      <c r="AL50" s="43" t="str">
        <f t="shared" si="11"/>
        <v/>
      </c>
      <c r="AM50" s="43" t="str">
        <f t="shared" si="5"/>
        <v/>
      </c>
      <c r="AN50" s="43"/>
      <c r="AO50" s="43" t="str">
        <f t="shared" si="6"/>
        <v/>
      </c>
      <c r="AP50" s="43" t="str">
        <f t="shared" si="7"/>
        <v/>
      </c>
      <c r="AQ50" s="43"/>
      <c r="AR50" s="43"/>
      <c r="AS50" s="43"/>
      <c r="AT50" s="43" t="str">
        <f t="shared" si="8"/>
        <v/>
      </c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>
        <f t="shared" si="9"/>
        <v>0</v>
      </c>
      <c r="BG50" s="264"/>
      <c r="BH50" s="264"/>
    </row>
    <row r="51" spans="1:60" s="207" customFormat="1" hidden="1" x14ac:dyDescent="0.25">
      <c r="A51" s="213"/>
      <c r="B51" s="214"/>
      <c r="C51" s="213"/>
      <c r="D51" s="213"/>
      <c r="E51" s="213"/>
      <c r="F51" s="213"/>
      <c r="G51" s="213"/>
      <c r="H51" s="213"/>
      <c r="I51" s="213"/>
      <c r="J51" s="213"/>
      <c r="K51" s="213"/>
      <c r="L51" s="213"/>
      <c r="M51" s="213"/>
      <c r="N51" s="213"/>
      <c r="O51" s="213"/>
      <c r="P51" s="213"/>
      <c r="Q51" s="213"/>
      <c r="R51" s="213"/>
      <c r="S51" s="213"/>
      <c r="T51" s="213"/>
      <c r="U51" s="213"/>
      <c r="V51" s="213"/>
      <c r="W51" s="213"/>
      <c r="X51" s="213"/>
      <c r="Y51" s="213"/>
      <c r="Z51" s="213"/>
      <c r="AA51" s="213"/>
      <c r="AB51" s="213"/>
      <c r="AC51" s="213"/>
      <c r="AD51" s="213"/>
      <c r="AE51" s="213"/>
      <c r="AF51" s="213"/>
      <c r="AG51" s="213"/>
      <c r="AH51" s="213" t="str">
        <f t="shared" si="1"/>
        <v/>
      </c>
      <c r="AI51" s="213" t="str">
        <f t="shared" si="2"/>
        <v/>
      </c>
      <c r="AJ51" s="213" t="str">
        <f t="shared" si="0"/>
        <v/>
      </c>
      <c r="AK51" s="213" t="str">
        <f t="shared" si="3"/>
        <v/>
      </c>
      <c r="AL51" s="213" t="str">
        <f t="shared" si="11"/>
        <v/>
      </c>
      <c r="AM51" s="213" t="str">
        <f t="shared" si="5"/>
        <v/>
      </c>
      <c r="AN51" s="213"/>
      <c r="AO51" s="213" t="str">
        <f t="shared" si="6"/>
        <v/>
      </c>
      <c r="AP51" s="213" t="str">
        <f t="shared" si="7"/>
        <v/>
      </c>
      <c r="AQ51" s="213"/>
      <c r="AR51" s="213"/>
      <c r="AS51" s="213"/>
      <c r="AT51" s="213" t="str">
        <f t="shared" si="8"/>
        <v/>
      </c>
      <c r="AU51" s="213"/>
      <c r="AV51" s="213"/>
      <c r="AW51" s="213"/>
      <c r="AX51" s="213"/>
      <c r="AY51" s="213"/>
      <c r="AZ51" s="213"/>
      <c r="BA51" s="213"/>
      <c r="BB51" s="213"/>
      <c r="BC51" s="213"/>
      <c r="BD51" s="213"/>
      <c r="BE51" s="213"/>
      <c r="BF51" s="213">
        <f t="shared" si="9"/>
        <v>0</v>
      </c>
      <c r="BG51" s="264"/>
      <c r="BH51" s="264"/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BX191"/>
  <sheetViews>
    <sheetView zoomScaleNormal="100" workbookViewId="0">
      <pane xSplit="6" ySplit="5" topLeftCell="G6" activePane="bottomRight" state="frozen"/>
      <selection pane="topRight" activeCell="G1" sqref="G1"/>
      <selection pane="bottomLeft" activeCell="A6" sqref="A6"/>
      <selection pane="bottomRight" activeCell="AZ3" sqref="AZ3"/>
    </sheetView>
  </sheetViews>
  <sheetFormatPr defaultRowHeight="13.2" x14ac:dyDescent="0.25"/>
  <cols>
    <col min="1" max="1" width="3.6640625" customWidth="1"/>
    <col min="2" max="2" width="41.88671875" style="63" customWidth="1"/>
    <col min="3" max="3" width="12.109375" bestFit="1" customWidth="1"/>
    <col min="4" max="4" width="4.6640625" bestFit="1" customWidth="1"/>
    <col min="5" max="5" width="2.33203125" customWidth="1"/>
    <col min="6" max="6" width="2.6640625" customWidth="1"/>
    <col min="7" max="7" width="3.5546875" customWidth="1"/>
    <col min="8" max="8" width="2.88671875" customWidth="1"/>
    <col min="9" max="9" width="2.33203125" customWidth="1"/>
    <col min="10" max="10" width="2.88671875" bestFit="1" customWidth="1"/>
    <col min="11" max="13" width="2.5546875" customWidth="1"/>
    <col min="14" max="14" width="2.33203125" customWidth="1"/>
    <col min="15" max="15" width="2.5546875" customWidth="1"/>
    <col min="16" max="16" width="2.88671875" bestFit="1" customWidth="1"/>
    <col min="17" max="17" width="2.5546875" customWidth="1"/>
    <col min="18" max="18" width="2.33203125" customWidth="1"/>
    <col min="19" max="22" width="2.5546875" customWidth="1"/>
    <col min="23" max="23" width="2.33203125" customWidth="1"/>
    <col min="24" max="33" width="2.5546875" customWidth="1"/>
    <col min="34" max="34" width="3.88671875" customWidth="1"/>
    <col min="35" max="35" width="3.5546875" customWidth="1"/>
    <col min="36" max="36" width="3.33203125" customWidth="1"/>
    <col min="37" max="37" width="4.33203125" customWidth="1"/>
    <col min="38" max="38" width="3.5546875" customWidth="1"/>
    <col min="39" max="39" width="3.88671875" customWidth="1"/>
    <col min="40" max="40" width="3.33203125" customWidth="1"/>
    <col min="41" max="41" width="4.44140625" customWidth="1"/>
    <col min="42" max="42" width="4.33203125" customWidth="1"/>
    <col min="43" max="43" width="3.6640625" customWidth="1"/>
    <col min="44" max="44" width="3.6640625" bestFit="1" customWidth="1"/>
    <col min="45" max="45" width="3.6640625" customWidth="1"/>
    <col min="46" max="46" width="4.88671875" bestFit="1" customWidth="1"/>
    <col min="47" max="47" width="3.44140625" customWidth="1"/>
    <col min="48" max="48" width="3.5546875" customWidth="1"/>
    <col min="49" max="49" width="3.44140625" customWidth="1"/>
    <col min="50" max="57" width="4" customWidth="1"/>
    <col min="58" max="58" width="10.5546875" customWidth="1"/>
    <col min="59" max="59" width="6.6640625" customWidth="1"/>
    <col min="60" max="60" width="5.6640625" customWidth="1"/>
    <col min="61" max="62" width="6.44140625" customWidth="1"/>
    <col min="63" max="64" width="7.109375" bestFit="1" customWidth="1"/>
    <col min="65" max="65" width="5" customWidth="1"/>
    <col min="66" max="66" width="5.44140625" customWidth="1"/>
    <col min="67" max="67" width="7.109375" bestFit="1" customWidth="1"/>
    <col min="68" max="68" width="7.109375" customWidth="1"/>
    <col min="69" max="69" width="5.109375" customWidth="1"/>
    <col min="70" max="70" width="7.44140625" customWidth="1"/>
  </cols>
  <sheetData>
    <row r="1" spans="1:72" s="27" customFormat="1" x14ac:dyDescent="0.25">
      <c r="A1" s="25"/>
      <c r="B1" s="142"/>
      <c r="C1" s="25"/>
      <c r="D1" s="25"/>
      <c r="E1" s="25"/>
      <c r="F1" s="25"/>
      <c r="G1" s="92" t="s">
        <v>0</v>
      </c>
      <c r="H1" s="92"/>
      <c r="I1" s="92"/>
      <c r="J1" s="92"/>
      <c r="K1" s="92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72" ht="15" customHeight="1" thickBot="1" x14ac:dyDescent="0.4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I2" s="107" t="s">
        <v>64</v>
      </c>
      <c r="BJ2" s="107" t="s">
        <v>64</v>
      </c>
      <c r="BK2" s="107" t="s">
        <v>65</v>
      </c>
      <c r="BL2" s="107" t="s">
        <v>187</v>
      </c>
      <c r="BM2" s="107" t="s">
        <v>65</v>
      </c>
      <c r="BN2" s="107" t="s">
        <v>65</v>
      </c>
      <c r="BO2" s="107" t="s">
        <v>187</v>
      </c>
      <c r="BP2" s="107" t="s">
        <v>66</v>
      </c>
      <c r="BQ2" s="107" t="s">
        <v>66</v>
      </c>
      <c r="BR2" s="99"/>
    </row>
    <row r="3" spans="1:72" ht="51" customHeight="1" thickBot="1" x14ac:dyDescent="0.3">
      <c r="A3" s="298" t="s">
        <v>1</v>
      </c>
      <c r="B3" s="300" t="s">
        <v>2</v>
      </c>
      <c r="C3" s="302" t="s">
        <v>3</v>
      </c>
      <c r="D3" s="304" t="s">
        <v>77</v>
      </c>
      <c r="E3" s="304" t="s">
        <v>40</v>
      </c>
      <c r="F3" s="304" t="s">
        <v>4</v>
      </c>
      <c r="G3" s="289" t="s">
        <v>5</v>
      </c>
      <c r="H3" s="290"/>
      <c r="I3" s="290"/>
      <c r="J3" s="291"/>
      <c r="K3" s="308" t="s">
        <v>46</v>
      </c>
      <c r="L3" s="309"/>
      <c r="M3" s="309"/>
      <c r="N3" s="309"/>
      <c r="O3" s="309"/>
      <c r="P3" s="309"/>
      <c r="Q3" s="309"/>
      <c r="R3" s="309"/>
      <c r="S3" s="309"/>
      <c r="T3" s="309"/>
      <c r="U3" s="309"/>
      <c r="V3" s="309"/>
      <c r="W3" s="309"/>
      <c r="X3" s="309"/>
      <c r="Y3" s="309"/>
      <c r="Z3" s="309"/>
      <c r="AA3" s="309"/>
      <c r="AB3" s="309"/>
      <c r="AC3" s="309"/>
      <c r="AD3" s="309"/>
      <c r="AE3" s="309"/>
      <c r="AF3" s="309"/>
      <c r="AG3" s="310"/>
      <c r="AH3" s="296" t="s">
        <v>56</v>
      </c>
      <c r="AI3" s="296"/>
      <c r="AJ3" s="297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103</v>
      </c>
      <c r="BC3" s="39" t="s">
        <v>59</v>
      </c>
      <c r="BD3" s="39" t="s">
        <v>60</v>
      </c>
      <c r="BE3" s="39" t="s">
        <v>62</v>
      </c>
      <c r="BF3" s="306" t="s">
        <v>210</v>
      </c>
      <c r="BG3" s="96"/>
      <c r="BH3" s="96"/>
      <c r="BI3" s="101">
        <v>1</v>
      </c>
      <c r="BJ3" s="101">
        <v>1</v>
      </c>
      <c r="BK3" s="101">
        <v>1</v>
      </c>
      <c r="BL3" s="101">
        <v>1</v>
      </c>
      <c r="BM3" s="101">
        <v>0.5</v>
      </c>
      <c r="BN3" s="101">
        <v>0.5</v>
      </c>
      <c r="BO3" s="101">
        <v>0.5</v>
      </c>
      <c r="BP3" s="101">
        <v>0.5</v>
      </c>
      <c r="BQ3" s="101">
        <v>0.5</v>
      </c>
      <c r="BR3" s="102"/>
    </row>
    <row r="4" spans="1:72" ht="92.4" x14ac:dyDescent="0.25">
      <c r="A4" s="299"/>
      <c r="B4" s="301"/>
      <c r="C4" s="303"/>
      <c r="D4" s="305"/>
      <c r="E4" s="305"/>
      <c r="F4" s="305"/>
      <c r="G4" s="14" t="s">
        <v>11</v>
      </c>
      <c r="H4" s="14" t="s">
        <v>12</v>
      </c>
      <c r="I4" s="14" t="s">
        <v>13</v>
      </c>
      <c r="J4" s="16" t="s">
        <v>14</v>
      </c>
      <c r="K4" s="112" t="s">
        <v>43</v>
      </c>
      <c r="L4" s="22" t="s">
        <v>44</v>
      </c>
      <c r="M4" s="126" t="s">
        <v>45</v>
      </c>
      <c r="N4" s="139" t="s">
        <v>47</v>
      </c>
      <c r="O4" s="139" t="s">
        <v>48</v>
      </c>
      <c r="P4" s="139" t="s">
        <v>49</v>
      </c>
      <c r="Q4" s="139" t="s">
        <v>7</v>
      </c>
      <c r="R4" s="139" t="s">
        <v>22</v>
      </c>
      <c r="S4" s="139" t="s">
        <v>50</v>
      </c>
      <c r="T4" s="139" t="s">
        <v>51</v>
      </c>
      <c r="U4" s="139" t="s">
        <v>52</v>
      </c>
      <c r="V4" s="139" t="s">
        <v>53</v>
      </c>
      <c r="W4" s="139" t="s">
        <v>29</v>
      </c>
      <c r="X4" s="139" t="s">
        <v>9</v>
      </c>
      <c r="Y4" s="139" t="s">
        <v>54</v>
      </c>
      <c r="Z4" s="139" t="s">
        <v>55</v>
      </c>
      <c r="AA4" s="139" t="s">
        <v>34</v>
      </c>
      <c r="AB4" s="139" t="s">
        <v>35</v>
      </c>
      <c r="AC4" s="139" t="s">
        <v>36</v>
      </c>
      <c r="AD4" s="139" t="s">
        <v>37</v>
      </c>
      <c r="AE4" s="139" t="s">
        <v>59</v>
      </c>
      <c r="AF4" s="139" t="s">
        <v>60</v>
      </c>
      <c r="AG4" s="127" t="s">
        <v>62</v>
      </c>
      <c r="AH4" s="5" t="s">
        <v>43</v>
      </c>
      <c r="AI4" s="5" t="s">
        <v>44</v>
      </c>
      <c r="AJ4" s="5" t="s">
        <v>45</v>
      </c>
      <c r="AK4" s="5" t="s">
        <v>42</v>
      </c>
      <c r="AL4" s="5" t="s">
        <v>15</v>
      </c>
      <c r="AM4" s="5" t="s">
        <v>16</v>
      </c>
      <c r="AN4" s="5" t="s">
        <v>15</v>
      </c>
      <c r="AO4" s="5" t="s">
        <v>17</v>
      </c>
      <c r="AP4" s="5" t="s">
        <v>18</v>
      </c>
      <c r="AQ4" s="5" t="s">
        <v>23</v>
      </c>
      <c r="AR4" s="5" t="s">
        <v>19</v>
      </c>
      <c r="AS4" s="5" t="s">
        <v>25</v>
      </c>
      <c r="AT4" s="5" t="s">
        <v>92</v>
      </c>
      <c r="AU4" s="5" t="s">
        <v>31</v>
      </c>
      <c r="AV4" s="5" t="s">
        <v>32</v>
      </c>
      <c r="AW4" s="5" t="s">
        <v>27</v>
      </c>
      <c r="AX4" s="5" t="s">
        <v>96</v>
      </c>
      <c r="AY4" s="5" t="s">
        <v>20</v>
      </c>
      <c r="AZ4" s="5" t="s">
        <v>26</v>
      </c>
      <c r="BA4" s="5" t="s">
        <v>20</v>
      </c>
      <c r="BB4" s="5" t="s">
        <v>38</v>
      </c>
      <c r="BC4" s="5" t="s">
        <v>58</v>
      </c>
      <c r="BD4" s="5" t="s">
        <v>61</v>
      </c>
      <c r="BE4" s="5" t="s">
        <v>63</v>
      </c>
      <c r="BF4" s="307"/>
      <c r="BG4" s="97" t="s">
        <v>185</v>
      </c>
      <c r="BH4" s="96" t="s">
        <v>112</v>
      </c>
      <c r="BI4" s="103" t="s">
        <v>76</v>
      </c>
      <c r="BJ4" s="104" t="s">
        <v>189</v>
      </c>
      <c r="BK4" s="104" t="s">
        <v>223</v>
      </c>
      <c r="BL4" s="104" t="s">
        <v>188</v>
      </c>
      <c r="BM4" s="105" t="s">
        <v>97</v>
      </c>
      <c r="BN4" s="104" t="s">
        <v>104</v>
      </c>
      <c r="BO4" s="104" t="s">
        <v>201</v>
      </c>
      <c r="BP4" s="104" t="s">
        <v>173</v>
      </c>
      <c r="BQ4" s="104" t="s">
        <v>235</v>
      </c>
      <c r="BR4" s="106" t="s">
        <v>21</v>
      </c>
      <c r="BS4" s="17" t="s">
        <v>72</v>
      </c>
    </row>
    <row r="5" spans="1:72" x14ac:dyDescent="0.25">
      <c r="A5" s="20"/>
      <c r="B5" s="21" t="s">
        <v>78</v>
      </c>
      <c r="C5" s="7"/>
      <c r="D5" s="22"/>
      <c r="E5" s="13"/>
      <c r="F5" s="14"/>
      <c r="G5" s="14"/>
      <c r="H5" s="14"/>
      <c r="I5" s="14"/>
      <c r="J5" s="16"/>
      <c r="K5" s="32"/>
      <c r="L5" s="5"/>
      <c r="M5" s="33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15"/>
      <c r="AL5" s="16"/>
      <c r="AM5" s="7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5"/>
      <c r="BF5" s="50">
        <f>SUM(BF6:BF60)</f>
        <v>0</v>
      </c>
      <c r="BG5" s="50">
        <f>SUM(BG6:BG58)</f>
        <v>0</v>
      </c>
      <c r="BH5" s="50">
        <f>SUM(BH6:BH58)</f>
        <v>0</v>
      </c>
      <c r="BI5" s="130">
        <f t="shared" ref="BI5:BR5" si="0">SUM(BI6:BI59)</f>
        <v>0</v>
      </c>
      <c r="BJ5" s="130">
        <f t="shared" si="0"/>
        <v>0</v>
      </c>
      <c r="BK5" s="130">
        <f t="shared" si="0"/>
        <v>0</v>
      </c>
      <c r="BL5" s="130">
        <f t="shared" si="0"/>
        <v>0</v>
      </c>
      <c r="BM5" s="130">
        <f t="shared" si="0"/>
        <v>0</v>
      </c>
      <c r="BN5" s="130">
        <f t="shared" si="0"/>
        <v>0</v>
      </c>
      <c r="BO5" s="130">
        <f t="shared" si="0"/>
        <v>0</v>
      </c>
      <c r="BP5" s="130">
        <f t="shared" si="0"/>
        <v>0</v>
      </c>
      <c r="BQ5" s="130">
        <f t="shared" si="0"/>
        <v>0</v>
      </c>
      <c r="BR5" s="130">
        <f t="shared" si="0"/>
        <v>0</v>
      </c>
      <c r="BS5" s="5"/>
      <c r="BT5" s="134"/>
    </row>
    <row r="6" spans="1:72" s="185" customFormat="1" ht="12.75" customHeight="1" x14ac:dyDescent="0.25">
      <c r="A6" s="43"/>
      <c r="B6" s="201"/>
      <c r="C6" s="43"/>
      <c r="D6" s="43"/>
      <c r="E6" s="43"/>
      <c r="F6" s="43"/>
      <c r="G6" s="43"/>
      <c r="H6" s="43"/>
      <c r="I6" s="43"/>
      <c r="J6" s="87"/>
      <c r="K6" s="202"/>
      <c r="L6" s="43"/>
      <c r="M6" s="203"/>
      <c r="N6" s="204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 t="str">
        <f>IF(K6&lt;&gt;"",H6*K6,"")</f>
        <v/>
      </c>
      <c r="AI6" s="43" t="str">
        <f>IF(L6&lt;&gt;"",H6*L6,"")</f>
        <v/>
      </c>
      <c r="AJ6" s="43" t="str">
        <f t="shared" ref="AJ6:AJ45" si="1">IF(M6&lt;&gt;"",M6*H6,"")</f>
        <v/>
      </c>
      <c r="AK6" s="43" t="str">
        <f xml:space="preserve"> IF(N6&lt;&gt;"", 0.05*K6+2,"")</f>
        <v/>
      </c>
      <c r="AL6" s="43">
        <f>IF(F6="з",0.15,0.05)*IF(AI6&lt;&gt;"",AI6,0)+2*IF(O6=1,1,0)</f>
        <v>0</v>
      </c>
      <c r="AM6" s="43" t="str">
        <f>IF(O6="+",0.25*G6,IF(O6="+Д",G6*0.33,""))</f>
        <v/>
      </c>
      <c r="AN6" s="43"/>
      <c r="AO6" s="43" t="str">
        <f>IF(Q6&lt;&gt;"",2*G6,"")</f>
        <v/>
      </c>
      <c r="AP6" s="43" t="str">
        <f>IF(R6&lt;&gt;"",3*H6,"")</f>
        <v/>
      </c>
      <c r="AQ6" s="43"/>
      <c r="AR6" s="43"/>
      <c r="AS6" s="43"/>
      <c r="AT6" s="43" t="str">
        <f>IF(V6&lt;&gt;"",0.5*G6,"")</f>
        <v/>
      </c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>
        <f>SUM(AH6:BE6)</f>
        <v>0</v>
      </c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</row>
    <row r="7" spans="1:72" s="185" customFormat="1" ht="12" x14ac:dyDescent="0.25">
      <c r="A7" s="43"/>
      <c r="B7" s="54"/>
      <c r="C7" s="43"/>
      <c r="D7" s="43"/>
      <c r="E7" s="43"/>
      <c r="F7" s="43"/>
      <c r="G7" s="43"/>
      <c r="H7" s="43"/>
      <c r="I7" s="43"/>
      <c r="J7" s="87"/>
      <c r="K7" s="202"/>
      <c r="L7" s="43"/>
      <c r="M7" s="20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 t="str">
        <f t="shared" ref="AH7:AH60" si="2">IF(K7&lt;&gt;"",H7*K7,"")</f>
        <v/>
      </c>
      <c r="AI7" s="43" t="str">
        <f t="shared" ref="AI7:AI60" si="3">IF(L7&lt;&gt;"",H7*L7,"")</f>
        <v/>
      </c>
      <c r="AJ7" s="43" t="str">
        <f t="shared" si="1"/>
        <v/>
      </c>
      <c r="AK7" s="43" t="str">
        <f t="shared" ref="AK7:AK60" si="4" xml:space="preserve"> IF(N7&lt;&gt;"", 0.05*K7+2,"")</f>
        <v/>
      </c>
      <c r="AL7" s="43">
        <f t="shared" ref="AL7:AL33" si="5">IF(F7="з",0.15,0.05)*IF(AI7&lt;&gt;"",AI7,0)+2*IF(O7=1,1,0)</f>
        <v>0</v>
      </c>
      <c r="AM7" s="43" t="str">
        <f t="shared" ref="AM7:AM60" si="6">IF(O7="+",0.25*G7,IF(O7="+Д",G7*0.33,""))</f>
        <v/>
      </c>
      <c r="AN7" s="43"/>
      <c r="AO7" s="43" t="str">
        <f t="shared" ref="AO7:AO60" si="7">IF(Q7&lt;&gt;"",2*G7,"")</f>
        <v/>
      </c>
      <c r="AP7" s="43" t="str">
        <f t="shared" ref="AP7:AP60" si="8">IF(R7&lt;&gt;"",3*H7,"")</f>
        <v/>
      </c>
      <c r="AQ7" s="43"/>
      <c r="AR7" s="43"/>
      <c r="AS7" s="43"/>
      <c r="AT7" s="43" t="str">
        <f t="shared" ref="AT7:AT60" si="9">IF(V7&lt;&gt;"",0.5*G7,"")</f>
        <v/>
      </c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>
        <f t="shared" ref="BF7:BF60" si="10">SUM(AH7:BE7)</f>
        <v>0</v>
      </c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</row>
    <row r="8" spans="1:72" s="185" customFormat="1" ht="12.75" customHeight="1" x14ac:dyDescent="0.25">
      <c r="A8" s="43"/>
      <c r="B8" s="54"/>
      <c r="C8" s="43"/>
      <c r="D8" s="43"/>
      <c r="E8" s="43"/>
      <c r="F8" s="43"/>
      <c r="G8" s="43"/>
      <c r="H8" s="43"/>
      <c r="I8" s="43"/>
      <c r="J8" s="87"/>
      <c r="K8" s="202"/>
      <c r="L8" s="43"/>
      <c r="M8" s="203"/>
      <c r="N8" s="204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 t="str">
        <f t="shared" si="2"/>
        <v/>
      </c>
      <c r="AI8" s="43" t="str">
        <f t="shared" si="3"/>
        <v/>
      </c>
      <c r="AJ8" s="43" t="str">
        <f t="shared" si="1"/>
        <v/>
      </c>
      <c r="AK8" s="43" t="str">
        <f t="shared" si="4"/>
        <v/>
      </c>
      <c r="AL8" s="43">
        <f t="shared" si="5"/>
        <v>0</v>
      </c>
      <c r="AM8" s="43" t="str">
        <f t="shared" si="6"/>
        <v/>
      </c>
      <c r="AN8" s="43"/>
      <c r="AO8" s="43" t="str">
        <f t="shared" si="7"/>
        <v/>
      </c>
      <c r="AP8" s="43" t="str">
        <f t="shared" si="8"/>
        <v/>
      </c>
      <c r="AQ8" s="43"/>
      <c r="AR8" s="43"/>
      <c r="AS8" s="43"/>
      <c r="AT8" s="43" t="str">
        <f t="shared" si="9"/>
        <v/>
      </c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>
        <f t="shared" si="10"/>
        <v>0</v>
      </c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</row>
    <row r="9" spans="1:72" s="205" customFormat="1" x14ac:dyDescent="0.25">
      <c r="A9" s="43"/>
      <c r="B9" s="201"/>
      <c r="C9" s="43"/>
      <c r="D9" s="43"/>
      <c r="E9" s="43"/>
      <c r="F9" s="43"/>
      <c r="G9" s="43"/>
      <c r="H9" s="43"/>
      <c r="I9" s="43"/>
      <c r="J9" s="87"/>
      <c r="K9" s="202"/>
      <c r="L9" s="43"/>
      <c r="M9" s="203"/>
      <c r="N9" s="204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 t="str">
        <f t="shared" si="2"/>
        <v/>
      </c>
      <c r="AI9" s="43" t="str">
        <f t="shared" si="3"/>
        <v/>
      </c>
      <c r="AJ9" s="43" t="str">
        <f t="shared" si="1"/>
        <v/>
      </c>
      <c r="AK9" s="43" t="str">
        <f t="shared" si="4"/>
        <v/>
      </c>
      <c r="AL9" s="43">
        <f t="shared" si="5"/>
        <v>0</v>
      </c>
      <c r="AM9" s="43" t="str">
        <f t="shared" si="6"/>
        <v/>
      </c>
      <c r="AN9" s="43"/>
      <c r="AO9" s="43" t="str">
        <f t="shared" si="7"/>
        <v/>
      </c>
      <c r="AP9" s="43" t="str">
        <f t="shared" si="8"/>
        <v/>
      </c>
      <c r="AQ9" s="43"/>
      <c r="AR9" s="43"/>
      <c r="AS9" s="43"/>
      <c r="AT9" s="43" t="str">
        <f t="shared" si="9"/>
        <v/>
      </c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>
        <f t="shared" si="10"/>
        <v>0</v>
      </c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</row>
    <row r="10" spans="1:72" s="185" customFormat="1" ht="12" x14ac:dyDescent="0.25">
      <c r="A10" s="43"/>
      <c r="B10" s="54"/>
      <c r="C10" s="43"/>
      <c r="D10" s="43"/>
      <c r="E10" s="43"/>
      <c r="F10" s="43"/>
      <c r="G10" s="43"/>
      <c r="H10" s="43"/>
      <c r="I10" s="43"/>
      <c r="J10" s="87"/>
      <c r="K10" s="202"/>
      <c r="L10" s="43"/>
      <c r="M10" s="203"/>
      <c r="N10" s="204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 t="str">
        <f t="shared" si="2"/>
        <v/>
      </c>
      <c r="AI10" s="43" t="str">
        <f t="shared" si="3"/>
        <v/>
      </c>
      <c r="AJ10" s="43" t="str">
        <f t="shared" si="1"/>
        <v/>
      </c>
      <c r="AK10" s="43" t="str">
        <f t="shared" si="4"/>
        <v/>
      </c>
      <c r="AL10" s="43">
        <f t="shared" si="5"/>
        <v>0</v>
      </c>
      <c r="AM10" s="43" t="str">
        <f t="shared" si="6"/>
        <v/>
      </c>
      <c r="AN10" s="43"/>
      <c r="AO10" s="43" t="str">
        <f t="shared" si="7"/>
        <v/>
      </c>
      <c r="AP10" s="43" t="str">
        <f t="shared" si="8"/>
        <v/>
      </c>
      <c r="AQ10" s="43"/>
      <c r="AR10" s="43"/>
      <c r="AS10" s="43"/>
      <c r="AT10" s="43" t="str">
        <f t="shared" si="9"/>
        <v/>
      </c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>
        <f t="shared" si="10"/>
        <v>0</v>
      </c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</row>
    <row r="11" spans="1:72" s="185" customFormat="1" ht="12" x14ac:dyDescent="0.25">
      <c r="A11" s="213"/>
      <c r="B11" s="214"/>
      <c r="C11" s="213"/>
      <c r="D11" s="213"/>
      <c r="E11" s="213"/>
      <c r="F11" s="213"/>
      <c r="G11" s="213"/>
      <c r="H11" s="213"/>
      <c r="I11" s="213"/>
      <c r="J11" s="87"/>
      <c r="K11" s="215"/>
      <c r="L11" s="213"/>
      <c r="M11" s="216"/>
      <c r="N11" s="217"/>
      <c r="O11" s="213"/>
      <c r="P11" s="213"/>
      <c r="Q11" s="213"/>
      <c r="R11" s="213"/>
      <c r="S11" s="213"/>
      <c r="T11" s="213"/>
      <c r="U11" s="213"/>
      <c r="V11" s="213"/>
      <c r="W11" s="213"/>
      <c r="X11" s="213"/>
      <c r="Y11" s="213"/>
      <c r="Z11" s="213"/>
      <c r="AA11" s="213"/>
      <c r="AB11" s="213"/>
      <c r="AC11" s="213"/>
      <c r="AD11" s="213"/>
      <c r="AE11" s="213"/>
      <c r="AF11" s="213"/>
      <c r="AG11" s="213"/>
      <c r="AH11" s="43" t="str">
        <f t="shared" si="2"/>
        <v/>
      </c>
      <c r="AI11" s="43" t="str">
        <f t="shared" si="3"/>
        <v/>
      </c>
      <c r="AJ11" s="43" t="str">
        <f t="shared" si="1"/>
        <v/>
      </c>
      <c r="AK11" s="43" t="str">
        <f t="shared" si="4"/>
        <v/>
      </c>
      <c r="AL11" s="43">
        <f t="shared" si="5"/>
        <v>0</v>
      </c>
      <c r="AM11" s="43" t="str">
        <f t="shared" si="6"/>
        <v/>
      </c>
      <c r="AN11" s="213"/>
      <c r="AO11" s="43" t="str">
        <f t="shared" si="7"/>
        <v/>
      </c>
      <c r="AP11" s="43" t="str">
        <f t="shared" si="8"/>
        <v/>
      </c>
      <c r="AQ11" s="213"/>
      <c r="AR11" s="213"/>
      <c r="AS11" s="213"/>
      <c r="AT11" s="43" t="str">
        <f t="shared" si="9"/>
        <v/>
      </c>
      <c r="AU11" s="213"/>
      <c r="AV11" s="213"/>
      <c r="AW11" s="213"/>
      <c r="AX11" s="213"/>
      <c r="AY11" s="213"/>
      <c r="AZ11" s="213"/>
      <c r="BA11" s="213"/>
      <c r="BB11" s="213"/>
      <c r="BC11" s="213"/>
      <c r="BD11" s="213"/>
      <c r="BE11" s="213"/>
      <c r="BF11" s="43">
        <f t="shared" si="10"/>
        <v>0</v>
      </c>
      <c r="BG11" s="213"/>
      <c r="BH11" s="213"/>
      <c r="BI11" s="213"/>
      <c r="BJ11" s="213"/>
      <c r="BL11" s="213"/>
      <c r="BM11" s="213"/>
      <c r="BN11" s="213"/>
      <c r="BO11" s="213"/>
      <c r="BP11" s="213"/>
      <c r="BQ11" s="213"/>
      <c r="BR11" s="213"/>
      <c r="BS11" s="213"/>
    </row>
    <row r="12" spans="1:72" s="43" customFormat="1" ht="12" x14ac:dyDescent="0.25">
      <c r="B12" s="201"/>
      <c r="J12" s="87"/>
      <c r="K12" s="215"/>
      <c r="M12" s="216"/>
      <c r="N12" s="217"/>
      <c r="AH12" s="43" t="str">
        <f t="shared" si="2"/>
        <v/>
      </c>
      <c r="AI12" s="43" t="str">
        <f t="shared" si="3"/>
        <v/>
      </c>
      <c r="AJ12" s="43" t="str">
        <f t="shared" si="1"/>
        <v/>
      </c>
      <c r="AK12" s="43" t="str">
        <f t="shared" si="4"/>
        <v/>
      </c>
      <c r="AL12" s="43">
        <f t="shared" si="5"/>
        <v>0</v>
      </c>
      <c r="AM12" s="43" t="str">
        <f t="shared" si="6"/>
        <v/>
      </c>
      <c r="AO12" s="43" t="str">
        <f t="shared" si="7"/>
        <v/>
      </c>
      <c r="AP12" s="43" t="str">
        <f t="shared" si="8"/>
        <v/>
      </c>
      <c r="AT12" s="43" t="str">
        <f t="shared" si="9"/>
        <v/>
      </c>
      <c r="BF12" s="43">
        <f t="shared" si="10"/>
        <v>0</v>
      </c>
    </row>
    <row r="13" spans="1:72" s="43" customFormat="1" ht="12" x14ac:dyDescent="0.25">
      <c r="B13" s="201"/>
      <c r="J13" s="87"/>
      <c r="K13" s="215"/>
      <c r="M13" s="216"/>
      <c r="N13" s="217"/>
      <c r="AH13" s="43" t="str">
        <f t="shared" si="2"/>
        <v/>
      </c>
      <c r="AI13" s="43" t="str">
        <f t="shared" si="3"/>
        <v/>
      </c>
      <c r="AJ13" s="43" t="str">
        <f t="shared" si="1"/>
        <v/>
      </c>
      <c r="AK13" s="43" t="str">
        <f t="shared" si="4"/>
        <v/>
      </c>
      <c r="AL13" s="43">
        <f t="shared" si="5"/>
        <v>0</v>
      </c>
      <c r="AM13" s="43" t="str">
        <f t="shared" si="6"/>
        <v/>
      </c>
      <c r="AO13" s="43" t="str">
        <f t="shared" si="7"/>
        <v/>
      </c>
      <c r="AP13" s="43" t="str">
        <f t="shared" si="8"/>
        <v/>
      </c>
      <c r="AT13" s="43" t="str">
        <f t="shared" si="9"/>
        <v/>
      </c>
      <c r="BF13" s="43">
        <f t="shared" si="10"/>
        <v>0</v>
      </c>
    </row>
    <row r="14" spans="1:72" s="43" customFormat="1" ht="12" x14ac:dyDescent="0.25">
      <c r="B14" s="201"/>
      <c r="J14" s="87"/>
      <c r="K14" s="215"/>
      <c r="M14" s="216"/>
      <c r="N14" s="217"/>
      <c r="AH14" s="43" t="str">
        <f t="shared" si="2"/>
        <v/>
      </c>
      <c r="AI14" s="43" t="str">
        <f t="shared" si="3"/>
        <v/>
      </c>
      <c r="AJ14" s="43" t="str">
        <f t="shared" si="1"/>
        <v/>
      </c>
      <c r="AK14" s="43" t="str">
        <f t="shared" si="4"/>
        <v/>
      </c>
      <c r="AL14" s="43">
        <f t="shared" si="5"/>
        <v>0</v>
      </c>
      <c r="AM14" s="43" t="str">
        <f t="shared" si="6"/>
        <v/>
      </c>
      <c r="AO14" s="43" t="str">
        <f t="shared" si="7"/>
        <v/>
      </c>
      <c r="AP14" s="43" t="str">
        <f t="shared" si="8"/>
        <v/>
      </c>
      <c r="AT14" s="43" t="str">
        <f t="shared" si="9"/>
        <v/>
      </c>
      <c r="BF14" s="43">
        <f t="shared" si="10"/>
        <v>0</v>
      </c>
    </row>
    <row r="15" spans="1:72" s="43" customFormat="1" ht="12" x14ac:dyDescent="0.25">
      <c r="B15" s="201"/>
      <c r="J15" s="87"/>
      <c r="K15" s="202"/>
      <c r="M15" s="203"/>
      <c r="N15" s="202"/>
      <c r="AH15" s="43" t="str">
        <f t="shared" si="2"/>
        <v/>
      </c>
      <c r="AI15" s="43" t="str">
        <f t="shared" si="3"/>
        <v/>
      </c>
      <c r="AJ15" s="43" t="str">
        <f t="shared" si="1"/>
        <v/>
      </c>
      <c r="AK15" s="43" t="str">
        <f t="shared" si="4"/>
        <v/>
      </c>
      <c r="AL15" s="43">
        <f t="shared" si="5"/>
        <v>0</v>
      </c>
      <c r="AM15" s="43" t="str">
        <f t="shared" si="6"/>
        <v/>
      </c>
      <c r="AO15" s="43" t="str">
        <f t="shared" si="7"/>
        <v/>
      </c>
      <c r="AP15" s="43" t="str">
        <f t="shared" si="8"/>
        <v/>
      </c>
      <c r="AT15" s="43" t="str">
        <f t="shared" si="9"/>
        <v/>
      </c>
      <c r="BF15" s="43">
        <f t="shared" si="10"/>
        <v>0</v>
      </c>
    </row>
    <row r="16" spans="1:72" s="185" customFormat="1" ht="12" x14ac:dyDescent="0.25">
      <c r="A16" s="218"/>
      <c r="B16" s="219"/>
      <c r="C16" s="218"/>
      <c r="D16" s="218"/>
      <c r="E16" s="218"/>
      <c r="F16" s="218"/>
      <c r="G16" s="218"/>
      <c r="H16" s="218"/>
      <c r="I16" s="218"/>
      <c r="J16" s="87"/>
      <c r="K16" s="220"/>
      <c r="L16" s="218"/>
      <c r="M16" s="221"/>
      <c r="N16" s="222"/>
      <c r="O16" s="218"/>
      <c r="P16" s="218"/>
      <c r="Q16" s="218"/>
      <c r="R16" s="218"/>
      <c r="S16" s="218"/>
      <c r="T16" s="218"/>
      <c r="U16" s="218"/>
      <c r="V16" s="218"/>
      <c r="W16" s="218"/>
      <c r="X16" s="218"/>
      <c r="Y16" s="218"/>
      <c r="Z16" s="218"/>
      <c r="AA16" s="218"/>
      <c r="AB16" s="218"/>
      <c r="AC16" s="218"/>
      <c r="AD16" s="218"/>
      <c r="AE16" s="218"/>
      <c r="AF16" s="218"/>
      <c r="AG16" s="218"/>
      <c r="AH16" s="43" t="str">
        <f t="shared" si="2"/>
        <v/>
      </c>
      <c r="AI16" s="43" t="str">
        <f t="shared" si="3"/>
        <v/>
      </c>
      <c r="AJ16" s="43" t="str">
        <f t="shared" si="1"/>
        <v/>
      </c>
      <c r="AK16" s="43" t="str">
        <f t="shared" si="4"/>
        <v/>
      </c>
      <c r="AL16" s="43">
        <f t="shared" si="5"/>
        <v>0</v>
      </c>
      <c r="AM16" s="43" t="str">
        <f t="shared" si="6"/>
        <v/>
      </c>
      <c r="AN16" s="218"/>
      <c r="AO16" s="43" t="str">
        <f t="shared" si="7"/>
        <v/>
      </c>
      <c r="AP16" s="43" t="str">
        <f t="shared" si="8"/>
        <v/>
      </c>
      <c r="AQ16" s="218"/>
      <c r="AR16" s="218"/>
      <c r="AS16" s="218"/>
      <c r="AT16" s="43" t="str">
        <f t="shared" si="9"/>
        <v/>
      </c>
      <c r="AU16" s="218"/>
      <c r="AV16" s="218"/>
      <c r="AW16" s="218"/>
      <c r="AX16" s="218"/>
      <c r="AY16" s="218"/>
      <c r="AZ16" s="218"/>
      <c r="BA16" s="218"/>
      <c r="BB16" s="218"/>
      <c r="BC16" s="218"/>
      <c r="BD16" s="218"/>
      <c r="BE16" s="218"/>
      <c r="BF16" s="43">
        <f t="shared" si="10"/>
        <v>0</v>
      </c>
      <c r="BG16" s="218"/>
      <c r="BH16" s="218"/>
      <c r="BI16" s="218"/>
      <c r="BJ16" s="218"/>
      <c r="BK16" s="218"/>
      <c r="BL16" s="218"/>
      <c r="BM16" s="218"/>
      <c r="BN16" s="218"/>
      <c r="BO16" s="218"/>
      <c r="BP16" s="218"/>
      <c r="BQ16" s="218"/>
      <c r="BR16" s="218"/>
      <c r="BS16" s="218"/>
    </row>
    <row r="17" spans="1:71" s="185" customFormat="1" ht="12" x14ac:dyDescent="0.25">
      <c r="A17" s="43"/>
      <c r="B17" s="223"/>
      <c r="C17" s="43"/>
      <c r="D17" s="43"/>
      <c r="E17" s="43"/>
      <c r="F17" s="43"/>
      <c r="G17" s="43"/>
      <c r="H17" s="43"/>
      <c r="I17" s="43"/>
      <c r="J17" s="87"/>
      <c r="K17" s="202"/>
      <c r="L17" s="43"/>
      <c r="M17" s="203"/>
      <c r="N17" s="204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 t="str">
        <f t="shared" si="2"/>
        <v/>
      </c>
      <c r="AI17" s="43" t="str">
        <f t="shared" si="3"/>
        <v/>
      </c>
      <c r="AJ17" s="43" t="str">
        <f t="shared" si="1"/>
        <v/>
      </c>
      <c r="AK17" s="43" t="str">
        <f t="shared" si="4"/>
        <v/>
      </c>
      <c r="AL17" s="43">
        <f t="shared" si="5"/>
        <v>0</v>
      </c>
      <c r="AM17" s="43" t="str">
        <f t="shared" si="6"/>
        <v/>
      </c>
      <c r="AN17" s="43"/>
      <c r="AO17" s="43" t="str">
        <f t="shared" si="7"/>
        <v/>
      </c>
      <c r="AP17" s="43" t="str">
        <f t="shared" si="8"/>
        <v/>
      </c>
      <c r="AQ17" s="43"/>
      <c r="AR17" s="43"/>
      <c r="AS17" s="43"/>
      <c r="AT17" s="43" t="str">
        <f t="shared" si="9"/>
        <v/>
      </c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>
        <f t="shared" si="10"/>
        <v>0</v>
      </c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</row>
    <row r="18" spans="1:71" s="185" customFormat="1" ht="12" customHeight="1" x14ac:dyDescent="0.25">
      <c r="A18" s="43"/>
      <c r="B18" s="223"/>
      <c r="C18" s="43"/>
      <c r="D18" s="43"/>
      <c r="E18" s="43"/>
      <c r="F18" s="43"/>
      <c r="G18" s="43"/>
      <c r="H18" s="43"/>
      <c r="I18" s="43"/>
      <c r="J18" s="87"/>
      <c r="K18" s="202"/>
      <c r="L18" s="43"/>
      <c r="M18" s="203"/>
      <c r="N18" s="204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 t="str">
        <f t="shared" si="2"/>
        <v/>
      </c>
      <c r="AI18" s="43" t="str">
        <f t="shared" si="3"/>
        <v/>
      </c>
      <c r="AJ18" s="43" t="str">
        <f t="shared" si="1"/>
        <v/>
      </c>
      <c r="AK18" s="43" t="str">
        <f t="shared" si="4"/>
        <v/>
      </c>
      <c r="AL18" s="43">
        <f t="shared" si="5"/>
        <v>0</v>
      </c>
      <c r="AM18" s="43" t="str">
        <f t="shared" si="6"/>
        <v/>
      </c>
      <c r="AN18" s="43"/>
      <c r="AO18" s="43" t="str">
        <f t="shared" si="7"/>
        <v/>
      </c>
      <c r="AP18" s="43" t="str">
        <f t="shared" si="8"/>
        <v/>
      </c>
      <c r="AQ18" s="43"/>
      <c r="AR18" s="43"/>
      <c r="AS18" s="43"/>
      <c r="AT18" s="43" t="str">
        <f t="shared" si="9"/>
        <v/>
      </c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>
        <f t="shared" si="10"/>
        <v>0</v>
      </c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</row>
    <row r="19" spans="1:71" s="185" customFormat="1" ht="12" x14ac:dyDescent="0.25">
      <c r="A19" s="43"/>
      <c r="B19" s="223"/>
      <c r="C19" s="43"/>
      <c r="D19" s="43"/>
      <c r="E19" s="43"/>
      <c r="F19" s="43"/>
      <c r="G19" s="43"/>
      <c r="H19" s="43"/>
      <c r="I19" s="43"/>
      <c r="J19" s="87"/>
      <c r="K19" s="202"/>
      <c r="L19" s="43"/>
      <c r="M19" s="203"/>
      <c r="N19" s="204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 t="str">
        <f t="shared" si="2"/>
        <v/>
      </c>
      <c r="AI19" s="43" t="str">
        <f t="shared" si="3"/>
        <v/>
      </c>
      <c r="AJ19" s="43" t="str">
        <f t="shared" si="1"/>
        <v/>
      </c>
      <c r="AK19" s="43" t="str">
        <f t="shared" si="4"/>
        <v/>
      </c>
      <c r="AL19" s="43">
        <f t="shared" si="5"/>
        <v>0</v>
      </c>
      <c r="AM19" s="43" t="str">
        <f t="shared" si="6"/>
        <v/>
      </c>
      <c r="AN19" s="43"/>
      <c r="AO19" s="43" t="str">
        <f t="shared" si="7"/>
        <v/>
      </c>
      <c r="AP19" s="43" t="str">
        <f t="shared" si="8"/>
        <v/>
      </c>
      <c r="AQ19" s="43"/>
      <c r="AR19" s="43"/>
      <c r="AS19" s="43"/>
      <c r="AT19" s="43" t="str">
        <f t="shared" si="9"/>
        <v/>
      </c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>
        <f t="shared" si="10"/>
        <v>0</v>
      </c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</row>
    <row r="20" spans="1:71" s="185" customFormat="1" ht="14.25" customHeight="1" x14ac:dyDescent="0.25">
      <c r="A20" s="43"/>
      <c r="B20" s="223"/>
      <c r="C20" s="43"/>
      <c r="D20" s="43"/>
      <c r="E20" s="43"/>
      <c r="F20" s="43"/>
      <c r="G20" s="43"/>
      <c r="H20" s="43"/>
      <c r="I20" s="43"/>
      <c r="J20" s="87"/>
      <c r="K20" s="202"/>
      <c r="L20" s="43"/>
      <c r="M20" s="203"/>
      <c r="N20" s="204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 t="str">
        <f t="shared" si="2"/>
        <v/>
      </c>
      <c r="AI20" s="43" t="str">
        <f t="shared" si="3"/>
        <v/>
      </c>
      <c r="AJ20" s="43" t="str">
        <f t="shared" si="1"/>
        <v/>
      </c>
      <c r="AK20" s="43" t="str">
        <f t="shared" si="4"/>
        <v/>
      </c>
      <c r="AL20" s="43">
        <f t="shared" si="5"/>
        <v>0</v>
      </c>
      <c r="AM20" s="43" t="str">
        <f t="shared" si="6"/>
        <v/>
      </c>
      <c r="AN20" s="43"/>
      <c r="AO20" s="43" t="str">
        <f t="shared" si="7"/>
        <v/>
      </c>
      <c r="AP20" s="43" t="str">
        <f t="shared" si="8"/>
        <v/>
      </c>
      <c r="AQ20" s="43"/>
      <c r="AR20" s="43"/>
      <c r="AS20" s="43"/>
      <c r="AT20" s="43" t="str">
        <f t="shared" si="9"/>
        <v/>
      </c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>
        <f t="shared" si="10"/>
        <v>0</v>
      </c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</row>
    <row r="21" spans="1:71" s="185" customFormat="1" ht="12" x14ac:dyDescent="0.25">
      <c r="A21" s="43"/>
      <c r="B21" s="223"/>
      <c r="C21" s="43"/>
      <c r="D21" s="43"/>
      <c r="E21" s="43"/>
      <c r="F21" s="43"/>
      <c r="G21" s="43"/>
      <c r="H21" s="43"/>
      <c r="I21" s="43"/>
      <c r="J21" s="87"/>
      <c r="K21" s="202"/>
      <c r="L21" s="43"/>
      <c r="M21" s="203"/>
      <c r="N21" s="204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 t="str">
        <f t="shared" si="2"/>
        <v/>
      </c>
      <c r="AI21" s="43" t="str">
        <f t="shared" si="3"/>
        <v/>
      </c>
      <c r="AJ21" s="43" t="str">
        <f t="shared" si="1"/>
        <v/>
      </c>
      <c r="AK21" s="43" t="str">
        <f t="shared" si="4"/>
        <v/>
      </c>
      <c r="AL21" s="43">
        <f t="shared" si="5"/>
        <v>0</v>
      </c>
      <c r="AM21" s="43" t="str">
        <f t="shared" si="6"/>
        <v/>
      </c>
      <c r="AN21" s="43"/>
      <c r="AO21" s="43" t="str">
        <f t="shared" si="7"/>
        <v/>
      </c>
      <c r="AP21" s="43" t="str">
        <f t="shared" si="8"/>
        <v/>
      </c>
      <c r="AQ21" s="43"/>
      <c r="AR21" s="43"/>
      <c r="AS21" s="43"/>
      <c r="AT21" s="43" t="str">
        <f t="shared" si="9"/>
        <v/>
      </c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>
        <f t="shared" si="10"/>
        <v>0</v>
      </c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</row>
    <row r="22" spans="1:71" s="185" customFormat="1" ht="13.5" customHeight="1" x14ac:dyDescent="0.25">
      <c r="A22" s="43"/>
      <c r="B22" s="223"/>
      <c r="C22" s="43"/>
      <c r="D22" s="43"/>
      <c r="E22" s="43"/>
      <c r="F22" s="43"/>
      <c r="G22" s="43"/>
      <c r="H22" s="43"/>
      <c r="I22" s="43"/>
      <c r="J22" s="87"/>
      <c r="K22" s="202"/>
      <c r="L22" s="43"/>
      <c r="M22" s="203"/>
      <c r="N22" s="204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 t="str">
        <f t="shared" si="2"/>
        <v/>
      </c>
      <c r="AI22" s="43" t="str">
        <f t="shared" si="3"/>
        <v/>
      </c>
      <c r="AJ22" s="43" t="str">
        <f t="shared" si="1"/>
        <v/>
      </c>
      <c r="AK22" s="43" t="str">
        <f t="shared" si="4"/>
        <v/>
      </c>
      <c r="AL22" s="43">
        <f t="shared" si="5"/>
        <v>0</v>
      </c>
      <c r="AM22" s="43" t="str">
        <f t="shared" si="6"/>
        <v/>
      </c>
      <c r="AN22" s="43"/>
      <c r="AO22" s="43" t="str">
        <f t="shared" si="7"/>
        <v/>
      </c>
      <c r="AP22" s="43" t="str">
        <f t="shared" si="8"/>
        <v/>
      </c>
      <c r="AQ22" s="43"/>
      <c r="AR22" s="43"/>
      <c r="AS22" s="43"/>
      <c r="AT22" s="43" t="str">
        <f t="shared" si="9"/>
        <v/>
      </c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>
        <f t="shared" si="10"/>
        <v>0</v>
      </c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</row>
    <row r="23" spans="1:71" s="185" customFormat="1" ht="12" x14ac:dyDescent="0.25">
      <c r="A23" s="43"/>
      <c r="B23" s="223"/>
      <c r="C23" s="43"/>
      <c r="D23" s="43"/>
      <c r="E23" s="43"/>
      <c r="F23" s="43"/>
      <c r="G23" s="43"/>
      <c r="H23" s="43"/>
      <c r="I23" s="43"/>
      <c r="J23" s="87"/>
      <c r="K23" s="202"/>
      <c r="L23" s="43"/>
      <c r="M23" s="203"/>
      <c r="N23" s="204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 t="str">
        <f t="shared" si="2"/>
        <v/>
      </c>
      <c r="AI23" s="43" t="str">
        <f t="shared" si="3"/>
        <v/>
      </c>
      <c r="AJ23" s="43" t="str">
        <f t="shared" si="1"/>
        <v/>
      </c>
      <c r="AK23" s="43" t="str">
        <f t="shared" si="4"/>
        <v/>
      </c>
      <c r="AL23" s="43">
        <f t="shared" si="5"/>
        <v>0</v>
      </c>
      <c r="AM23" s="43" t="str">
        <f t="shared" si="6"/>
        <v/>
      </c>
      <c r="AN23" s="43"/>
      <c r="AO23" s="43" t="str">
        <f t="shared" si="7"/>
        <v/>
      </c>
      <c r="AP23" s="43" t="str">
        <f t="shared" si="8"/>
        <v/>
      </c>
      <c r="AQ23" s="43"/>
      <c r="AR23" s="43"/>
      <c r="AS23" s="43"/>
      <c r="AT23" s="43" t="str">
        <f t="shared" si="9"/>
        <v/>
      </c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>
        <f t="shared" si="10"/>
        <v>0</v>
      </c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</row>
    <row r="24" spans="1:71" s="185" customFormat="1" ht="12.75" customHeight="1" x14ac:dyDescent="0.25">
      <c r="A24" s="43"/>
      <c r="B24" s="223"/>
      <c r="C24" s="43"/>
      <c r="D24" s="43"/>
      <c r="E24" s="43"/>
      <c r="F24" s="43"/>
      <c r="G24" s="43"/>
      <c r="H24" s="43"/>
      <c r="I24" s="43"/>
      <c r="J24" s="87"/>
      <c r="K24" s="202"/>
      <c r="L24" s="43"/>
      <c r="M24" s="20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 t="str">
        <f t="shared" si="2"/>
        <v/>
      </c>
      <c r="AI24" s="43" t="str">
        <f t="shared" si="3"/>
        <v/>
      </c>
      <c r="AJ24" s="43" t="str">
        <f t="shared" si="1"/>
        <v/>
      </c>
      <c r="AK24" s="43" t="str">
        <f t="shared" si="4"/>
        <v/>
      </c>
      <c r="AL24" s="43">
        <f t="shared" si="5"/>
        <v>0</v>
      </c>
      <c r="AM24" s="43" t="str">
        <f t="shared" si="6"/>
        <v/>
      </c>
      <c r="AN24" s="43"/>
      <c r="AO24" s="43" t="str">
        <f t="shared" si="7"/>
        <v/>
      </c>
      <c r="AP24" s="43" t="str">
        <f t="shared" si="8"/>
        <v/>
      </c>
      <c r="AQ24" s="43"/>
      <c r="AR24" s="43"/>
      <c r="AS24" s="43"/>
      <c r="AT24" s="43" t="str">
        <f t="shared" si="9"/>
        <v/>
      </c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>
        <f t="shared" si="10"/>
        <v>0</v>
      </c>
      <c r="BG24" s="43"/>
      <c r="BH24" s="43"/>
      <c r="BI24" s="43"/>
      <c r="BJ24" s="43"/>
      <c r="BK24" s="43"/>
      <c r="BL24" s="43"/>
      <c r="BM24" s="43"/>
      <c r="BN24" s="43"/>
      <c r="BO24" s="43"/>
      <c r="BP24" s="43"/>
      <c r="BQ24" s="43"/>
      <c r="BR24" s="43"/>
      <c r="BS24" s="43"/>
    </row>
    <row r="25" spans="1:71" s="185" customFormat="1" ht="24.75" customHeight="1" x14ac:dyDescent="0.25">
      <c r="A25" s="43"/>
      <c r="B25" s="223"/>
      <c r="C25" s="43"/>
      <c r="D25" s="43"/>
      <c r="E25" s="43"/>
      <c r="F25" s="43"/>
      <c r="G25" s="43"/>
      <c r="H25" s="43"/>
      <c r="I25" s="43"/>
      <c r="J25" s="87"/>
      <c r="K25" s="202"/>
      <c r="L25" s="43"/>
      <c r="M25" s="203"/>
      <c r="N25" s="204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 t="str">
        <f t="shared" si="2"/>
        <v/>
      </c>
      <c r="AI25" s="43" t="str">
        <f t="shared" si="3"/>
        <v/>
      </c>
      <c r="AJ25" s="43" t="str">
        <f t="shared" si="1"/>
        <v/>
      </c>
      <c r="AK25" s="43" t="str">
        <f t="shared" si="4"/>
        <v/>
      </c>
      <c r="AL25" s="43">
        <f t="shared" si="5"/>
        <v>0</v>
      </c>
      <c r="AM25" s="43" t="str">
        <f t="shared" si="6"/>
        <v/>
      </c>
      <c r="AN25" s="43"/>
      <c r="AO25" s="43" t="str">
        <f t="shared" si="7"/>
        <v/>
      </c>
      <c r="AP25" s="43" t="str">
        <f t="shared" si="8"/>
        <v/>
      </c>
      <c r="AQ25" s="43"/>
      <c r="AR25" s="43"/>
      <c r="AS25" s="43"/>
      <c r="AT25" s="43" t="str">
        <f t="shared" si="9"/>
        <v/>
      </c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>
        <f t="shared" si="10"/>
        <v>0</v>
      </c>
      <c r="BG25" s="43"/>
      <c r="BI25" s="43"/>
      <c r="BJ25" s="43"/>
      <c r="BK25" s="43"/>
      <c r="BL25" s="43"/>
      <c r="BM25" s="43"/>
      <c r="BN25" s="43"/>
      <c r="BO25" s="43"/>
      <c r="BQ25" s="43"/>
      <c r="BR25" s="43"/>
      <c r="BS25" s="43"/>
    </row>
    <row r="26" spans="1:71" s="185" customFormat="1" ht="12.75" customHeight="1" x14ac:dyDescent="0.25">
      <c r="A26" s="43"/>
      <c r="B26" s="223"/>
      <c r="C26" s="43"/>
      <c r="D26" s="43"/>
      <c r="E26" s="43"/>
      <c r="F26" s="43"/>
      <c r="G26" s="43"/>
      <c r="H26" s="43"/>
      <c r="I26" s="43"/>
      <c r="J26" s="87"/>
      <c r="K26" s="202"/>
      <c r="L26" s="43"/>
      <c r="M26" s="203"/>
      <c r="N26" s="204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 t="str">
        <f t="shared" si="2"/>
        <v/>
      </c>
      <c r="AI26" s="43" t="str">
        <f t="shared" si="3"/>
        <v/>
      </c>
      <c r="AJ26" s="43" t="str">
        <f t="shared" si="1"/>
        <v/>
      </c>
      <c r="AK26" s="43" t="str">
        <f t="shared" si="4"/>
        <v/>
      </c>
      <c r="AL26" s="43">
        <f t="shared" si="5"/>
        <v>0</v>
      </c>
      <c r="AM26" s="43" t="str">
        <f t="shared" si="6"/>
        <v/>
      </c>
      <c r="AN26" s="43"/>
      <c r="AO26" s="43" t="str">
        <f t="shared" si="7"/>
        <v/>
      </c>
      <c r="AP26" s="43" t="str">
        <f t="shared" si="8"/>
        <v/>
      </c>
      <c r="AQ26" s="43"/>
      <c r="AR26" s="43"/>
      <c r="AS26" s="43"/>
      <c r="AT26" s="43" t="str">
        <f t="shared" si="9"/>
        <v/>
      </c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>
        <f t="shared" si="10"/>
        <v>0</v>
      </c>
      <c r="BG26" s="43"/>
      <c r="BH26" s="43"/>
      <c r="BI26" s="43"/>
      <c r="BJ26" s="43"/>
      <c r="BK26" s="43"/>
      <c r="BL26" s="43"/>
      <c r="BM26" s="43"/>
      <c r="BN26" s="43"/>
      <c r="BO26" s="43"/>
      <c r="BP26" s="43"/>
      <c r="BQ26" s="43"/>
      <c r="BR26" s="43"/>
      <c r="BS26" s="43"/>
    </row>
    <row r="27" spans="1:71" s="185" customFormat="1" ht="12" x14ac:dyDescent="0.25">
      <c r="A27" s="43"/>
      <c r="B27" s="223"/>
      <c r="C27" s="43"/>
      <c r="D27" s="43"/>
      <c r="E27" s="43"/>
      <c r="F27" s="43"/>
      <c r="G27" s="43"/>
      <c r="H27" s="43"/>
      <c r="I27" s="43"/>
      <c r="J27" s="87"/>
      <c r="K27" s="202"/>
      <c r="L27" s="43"/>
      <c r="M27" s="203"/>
      <c r="N27" s="204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 t="str">
        <f t="shared" si="2"/>
        <v/>
      </c>
      <c r="AI27" s="43" t="str">
        <f t="shared" si="3"/>
        <v/>
      </c>
      <c r="AJ27" s="43" t="str">
        <f t="shared" si="1"/>
        <v/>
      </c>
      <c r="AK27" s="43" t="str">
        <f t="shared" si="4"/>
        <v/>
      </c>
      <c r="AL27" s="43">
        <f t="shared" si="5"/>
        <v>0</v>
      </c>
      <c r="AM27" s="43" t="str">
        <f t="shared" si="6"/>
        <v/>
      </c>
      <c r="AN27" s="43"/>
      <c r="AO27" s="43" t="str">
        <f t="shared" si="7"/>
        <v/>
      </c>
      <c r="AP27" s="43" t="str">
        <f t="shared" si="8"/>
        <v/>
      </c>
      <c r="AQ27" s="43"/>
      <c r="AR27" s="43"/>
      <c r="AS27" s="43"/>
      <c r="AT27" s="43" t="str">
        <f t="shared" si="9"/>
        <v/>
      </c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>
        <f t="shared" si="10"/>
        <v>0</v>
      </c>
      <c r="BG27" s="43"/>
      <c r="BH27" s="43"/>
      <c r="BI27" s="43"/>
      <c r="BJ27" s="43"/>
      <c r="BK27" s="43"/>
      <c r="BL27" s="43"/>
      <c r="BM27" s="218"/>
      <c r="BN27" s="43"/>
      <c r="BO27" s="43"/>
      <c r="BP27" s="43"/>
      <c r="BQ27" s="43"/>
      <c r="BR27" s="43"/>
      <c r="BS27" s="43"/>
    </row>
    <row r="28" spans="1:71" s="185" customFormat="1" ht="12.75" customHeight="1" x14ac:dyDescent="0.25">
      <c r="A28" s="43"/>
      <c r="B28" s="54"/>
      <c r="C28" s="43"/>
      <c r="D28" s="43"/>
      <c r="E28" s="43"/>
      <c r="F28" s="43"/>
      <c r="G28" s="43"/>
      <c r="H28" s="43"/>
      <c r="I28" s="43"/>
      <c r="J28" s="87"/>
      <c r="K28" s="202"/>
      <c r="L28" s="43"/>
      <c r="M28" s="203"/>
      <c r="N28" s="204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 t="str">
        <f t="shared" si="2"/>
        <v/>
      </c>
      <c r="AI28" s="43" t="str">
        <f t="shared" si="3"/>
        <v/>
      </c>
      <c r="AJ28" s="43" t="str">
        <f t="shared" si="1"/>
        <v/>
      </c>
      <c r="AK28" s="43" t="str">
        <f t="shared" si="4"/>
        <v/>
      </c>
      <c r="AL28" s="43">
        <f t="shared" si="5"/>
        <v>0</v>
      </c>
      <c r="AM28" s="43" t="str">
        <f t="shared" si="6"/>
        <v/>
      </c>
      <c r="AN28" s="43"/>
      <c r="AO28" s="43" t="str">
        <f t="shared" si="7"/>
        <v/>
      </c>
      <c r="AP28" s="43" t="str">
        <f t="shared" si="8"/>
        <v/>
      </c>
      <c r="AQ28" s="43"/>
      <c r="AR28" s="43"/>
      <c r="AS28" s="43"/>
      <c r="AT28" s="43" t="str">
        <f t="shared" si="9"/>
        <v/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>
        <f t="shared" si="10"/>
        <v>0</v>
      </c>
      <c r="BG28" s="43"/>
      <c r="BH28" s="43"/>
      <c r="BI28" s="43"/>
      <c r="BJ28" s="43"/>
      <c r="BK28" s="43"/>
      <c r="BL28" s="43"/>
      <c r="BM28" s="43"/>
      <c r="BN28" s="43"/>
      <c r="BO28" s="43"/>
      <c r="BP28" s="43"/>
      <c r="BQ28" s="43"/>
      <c r="BR28" s="43"/>
      <c r="BS28" s="43"/>
    </row>
    <row r="29" spans="1:71" s="185" customFormat="1" ht="12" x14ac:dyDescent="0.25">
      <c r="A29" s="43"/>
      <c r="B29" s="54"/>
      <c r="C29" s="43"/>
      <c r="D29" s="43"/>
      <c r="E29" s="43"/>
      <c r="F29" s="43"/>
      <c r="G29" s="43"/>
      <c r="H29" s="43"/>
      <c r="I29" s="43"/>
      <c r="J29" s="87"/>
      <c r="K29" s="202"/>
      <c r="L29" s="43"/>
      <c r="M29" s="203"/>
      <c r="N29" s="204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 t="str">
        <f t="shared" si="2"/>
        <v/>
      </c>
      <c r="AI29" s="43" t="str">
        <f t="shared" si="3"/>
        <v/>
      </c>
      <c r="AJ29" s="43" t="str">
        <f t="shared" si="1"/>
        <v/>
      </c>
      <c r="AK29" s="43" t="str">
        <f t="shared" si="4"/>
        <v/>
      </c>
      <c r="AL29" s="43">
        <f t="shared" si="5"/>
        <v>0</v>
      </c>
      <c r="AM29" s="43" t="str">
        <f t="shared" si="6"/>
        <v/>
      </c>
      <c r="AN29" s="43"/>
      <c r="AO29" s="43" t="str">
        <f t="shared" si="7"/>
        <v/>
      </c>
      <c r="AP29" s="43" t="str">
        <f t="shared" si="8"/>
        <v/>
      </c>
      <c r="AQ29" s="43"/>
      <c r="AR29" s="43"/>
      <c r="AS29" s="43"/>
      <c r="AT29" s="43" t="str">
        <f t="shared" si="9"/>
        <v/>
      </c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>
        <f t="shared" si="10"/>
        <v>0</v>
      </c>
      <c r="BG29" s="43"/>
      <c r="BH29" s="43"/>
      <c r="BI29" s="43"/>
      <c r="BJ29" s="43"/>
      <c r="BK29" s="43"/>
      <c r="BL29" s="43"/>
      <c r="BM29" s="43"/>
      <c r="BN29" s="43"/>
      <c r="BO29" s="43"/>
      <c r="BP29" s="43"/>
      <c r="BQ29" s="43"/>
      <c r="BR29" s="43"/>
      <c r="BS29" s="43"/>
    </row>
    <row r="30" spans="1:71" s="185" customFormat="1" ht="12.75" customHeight="1" x14ac:dyDescent="0.25">
      <c r="A30" s="43"/>
      <c r="B30" s="54"/>
      <c r="C30" s="43"/>
      <c r="D30" s="43"/>
      <c r="E30" s="43"/>
      <c r="F30" s="43"/>
      <c r="G30" s="43"/>
      <c r="H30" s="43"/>
      <c r="I30" s="43"/>
      <c r="J30" s="87"/>
      <c r="K30" s="202"/>
      <c r="L30" s="43"/>
      <c r="M30" s="203"/>
      <c r="N30" s="204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 t="str">
        <f t="shared" si="2"/>
        <v/>
      </c>
      <c r="AI30" s="43" t="str">
        <f t="shared" si="3"/>
        <v/>
      </c>
      <c r="AJ30" s="43" t="str">
        <f t="shared" si="1"/>
        <v/>
      </c>
      <c r="AK30" s="43" t="str">
        <f t="shared" si="4"/>
        <v/>
      </c>
      <c r="AL30" s="43">
        <f t="shared" si="5"/>
        <v>0</v>
      </c>
      <c r="AM30" s="43" t="str">
        <f t="shared" si="6"/>
        <v/>
      </c>
      <c r="AN30" s="43"/>
      <c r="AO30" s="43" t="str">
        <f t="shared" si="7"/>
        <v/>
      </c>
      <c r="AP30" s="43" t="str">
        <f t="shared" si="8"/>
        <v/>
      </c>
      <c r="AQ30" s="43"/>
      <c r="AR30" s="43"/>
      <c r="AS30" s="43"/>
      <c r="AT30" s="43" t="str">
        <f t="shared" si="9"/>
        <v/>
      </c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>
        <f t="shared" si="10"/>
        <v>0</v>
      </c>
      <c r="BG30" s="43"/>
      <c r="BH30" s="43"/>
      <c r="BI30" s="43"/>
      <c r="BJ30" s="43"/>
      <c r="BK30" s="43"/>
      <c r="BL30" s="43"/>
      <c r="BM30" s="43"/>
      <c r="BN30" s="43"/>
      <c r="BO30" s="43"/>
      <c r="BQ30" s="43"/>
      <c r="BR30" s="43"/>
      <c r="BS30" s="43"/>
    </row>
    <row r="31" spans="1:71" s="185" customFormat="1" ht="12" x14ac:dyDescent="0.25">
      <c r="A31" s="43"/>
      <c r="B31" s="54"/>
      <c r="C31" s="43"/>
      <c r="D31" s="43"/>
      <c r="E31" s="43"/>
      <c r="F31" s="43"/>
      <c r="G31" s="43"/>
      <c r="H31" s="43"/>
      <c r="I31" s="43"/>
      <c r="J31" s="87"/>
      <c r="K31" s="202"/>
      <c r="L31" s="43"/>
      <c r="M31" s="203"/>
      <c r="N31" s="204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 t="str">
        <f t="shared" si="2"/>
        <v/>
      </c>
      <c r="AI31" s="43" t="str">
        <f t="shared" si="3"/>
        <v/>
      </c>
      <c r="AJ31" s="43" t="str">
        <f t="shared" si="1"/>
        <v/>
      </c>
      <c r="AK31" s="43" t="str">
        <f t="shared" si="4"/>
        <v/>
      </c>
      <c r="AL31" s="43">
        <f t="shared" si="5"/>
        <v>0</v>
      </c>
      <c r="AM31" s="43" t="str">
        <f t="shared" si="6"/>
        <v/>
      </c>
      <c r="AN31" s="43"/>
      <c r="AO31" s="43" t="str">
        <f t="shared" si="7"/>
        <v/>
      </c>
      <c r="AP31" s="43" t="str">
        <f t="shared" si="8"/>
        <v/>
      </c>
      <c r="AQ31" s="43"/>
      <c r="AR31" s="43"/>
      <c r="AS31" s="43"/>
      <c r="AT31" s="43" t="str">
        <f t="shared" si="9"/>
        <v/>
      </c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>
        <f t="shared" si="10"/>
        <v>0</v>
      </c>
      <c r="BG31" s="43"/>
      <c r="BH31" s="43"/>
      <c r="BI31" s="43"/>
      <c r="BJ31" s="43"/>
      <c r="BK31" s="43"/>
      <c r="BL31" s="43"/>
      <c r="BM31" s="43"/>
      <c r="BN31" s="43"/>
      <c r="BO31" s="43"/>
      <c r="BP31" s="43"/>
      <c r="BQ31" s="43"/>
      <c r="BR31" s="43"/>
      <c r="BS31" s="43"/>
    </row>
    <row r="32" spans="1:71" s="185" customFormat="1" ht="13.5" customHeight="1" x14ac:dyDescent="0.25">
      <c r="A32" s="43"/>
      <c r="B32" s="54"/>
      <c r="C32" s="43"/>
      <c r="D32" s="43"/>
      <c r="E32" s="43"/>
      <c r="F32" s="43"/>
      <c r="G32" s="43"/>
      <c r="H32" s="43"/>
      <c r="I32" s="43"/>
      <c r="J32" s="87"/>
      <c r="K32" s="202"/>
      <c r="L32" s="43"/>
      <c r="M32" s="203"/>
      <c r="N32" s="204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 t="str">
        <f t="shared" si="2"/>
        <v/>
      </c>
      <c r="AI32" s="43" t="str">
        <f t="shared" si="3"/>
        <v/>
      </c>
      <c r="AJ32" s="43" t="str">
        <f t="shared" si="1"/>
        <v/>
      </c>
      <c r="AK32" s="43" t="str">
        <f t="shared" si="4"/>
        <v/>
      </c>
      <c r="AL32" s="43">
        <f t="shared" si="5"/>
        <v>0</v>
      </c>
      <c r="AM32" s="43" t="str">
        <f t="shared" si="6"/>
        <v/>
      </c>
      <c r="AN32" s="43"/>
      <c r="AO32" s="43" t="str">
        <f t="shared" si="7"/>
        <v/>
      </c>
      <c r="AP32" s="43" t="str">
        <f t="shared" si="8"/>
        <v/>
      </c>
      <c r="AQ32" s="43"/>
      <c r="AR32" s="43"/>
      <c r="AS32" s="43"/>
      <c r="AT32" s="43" t="str">
        <f t="shared" si="9"/>
        <v/>
      </c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>
        <f t="shared" si="10"/>
        <v>0</v>
      </c>
      <c r="BG32" s="43"/>
      <c r="BH32" s="43"/>
      <c r="BI32" s="43"/>
      <c r="BJ32" s="43"/>
      <c r="BK32" s="43"/>
      <c r="BL32" s="43"/>
      <c r="BM32" s="43"/>
      <c r="BN32" s="43"/>
      <c r="BO32" s="43"/>
      <c r="BP32" s="43"/>
      <c r="BQ32" s="43"/>
      <c r="BR32" s="43"/>
      <c r="BS32" s="43"/>
    </row>
    <row r="33" spans="1:76" s="185" customFormat="1" ht="12" x14ac:dyDescent="0.25">
      <c r="A33" s="43"/>
      <c r="B33" s="54"/>
      <c r="C33" s="43"/>
      <c r="D33" s="43"/>
      <c r="E33" s="43"/>
      <c r="F33" s="43"/>
      <c r="G33" s="43"/>
      <c r="H33" s="43"/>
      <c r="I33" s="43"/>
      <c r="J33" s="87"/>
      <c r="K33" s="202"/>
      <c r="L33" s="43"/>
      <c r="M33" s="203"/>
      <c r="N33" s="204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 t="str">
        <f t="shared" si="2"/>
        <v/>
      </c>
      <c r="AI33" s="43" t="str">
        <f t="shared" si="3"/>
        <v/>
      </c>
      <c r="AJ33" s="43" t="str">
        <f t="shared" si="1"/>
        <v/>
      </c>
      <c r="AK33" s="43" t="str">
        <f t="shared" si="4"/>
        <v/>
      </c>
      <c r="AL33" s="43">
        <f t="shared" si="5"/>
        <v>0</v>
      </c>
      <c r="AM33" s="43" t="str">
        <f t="shared" si="6"/>
        <v/>
      </c>
      <c r="AN33" s="43"/>
      <c r="AO33" s="43" t="str">
        <f t="shared" si="7"/>
        <v/>
      </c>
      <c r="AP33" s="43" t="str">
        <f t="shared" si="8"/>
        <v/>
      </c>
      <c r="AQ33" s="43"/>
      <c r="AR33" s="43"/>
      <c r="AS33" s="43"/>
      <c r="AT33" s="43" t="str">
        <f t="shared" si="9"/>
        <v/>
      </c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>
        <f t="shared" si="10"/>
        <v>0</v>
      </c>
      <c r="BG33" s="43"/>
      <c r="BH33" s="43"/>
      <c r="BI33" s="43"/>
      <c r="BJ33" s="43"/>
      <c r="BK33" s="43"/>
      <c r="BL33" s="43"/>
      <c r="BM33" s="43"/>
      <c r="BN33" s="43"/>
      <c r="BO33" s="43"/>
      <c r="BP33" s="43"/>
      <c r="BQ33" s="43"/>
      <c r="BR33" s="43"/>
      <c r="BS33" s="43"/>
    </row>
    <row r="34" spans="1:76" s="185" customFormat="1" ht="12" x14ac:dyDescent="0.25">
      <c r="A34" s="43"/>
      <c r="B34" s="54"/>
      <c r="C34" s="43"/>
      <c r="D34" s="43"/>
      <c r="E34" s="43"/>
      <c r="F34" s="43"/>
      <c r="G34" s="43"/>
      <c r="H34" s="43"/>
      <c r="I34" s="43"/>
      <c r="J34" s="87"/>
      <c r="K34" s="202"/>
      <c r="L34" s="43"/>
      <c r="M34" s="203"/>
      <c r="N34" s="204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 t="str">
        <f t="shared" si="2"/>
        <v/>
      </c>
      <c r="AI34" s="43" t="str">
        <f t="shared" si="3"/>
        <v/>
      </c>
      <c r="AJ34" s="43" t="str">
        <f t="shared" si="1"/>
        <v/>
      </c>
      <c r="AK34" s="43" t="str">
        <f t="shared" si="4"/>
        <v/>
      </c>
      <c r="AL34" s="43" t="str">
        <f t="shared" ref="AL34:AL60" si="11">IF(N34&lt;&gt;"",0.33*G34,"")</f>
        <v/>
      </c>
      <c r="AM34" s="43" t="str">
        <f t="shared" si="6"/>
        <v/>
      </c>
      <c r="AN34" s="43"/>
      <c r="AO34" s="43" t="str">
        <f t="shared" si="7"/>
        <v/>
      </c>
      <c r="AP34" s="43" t="str">
        <f t="shared" si="8"/>
        <v/>
      </c>
      <c r="AQ34" s="43"/>
      <c r="AR34" s="43"/>
      <c r="AS34" s="43"/>
      <c r="AT34" s="43" t="str">
        <f t="shared" si="9"/>
        <v/>
      </c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>
        <f t="shared" si="10"/>
        <v>0</v>
      </c>
      <c r="BG34" s="43"/>
      <c r="BH34" s="43"/>
      <c r="BI34" s="43"/>
      <c r="BJ34" s="43"/>
      <c r="BK34" s="43"/>
      <c r="BL34" s="43"/>
      <c r="BM34" s="43"/>
      <c r="BN34" s="43"/>
      <c r="BO34" s="43"/>
      <c r="BP34" s="43"/>
      <c r="BQ34" s="43"/>
      <c r="BR34" s="43"/>
      <c r="BS34" s="43"/>
    </row>
    <row r="35" spans="1:76" s="185" customFormat="1" ht="12" x14ac:dyDescent="0.25">
      <c r="A35" s="43"/>
      <c r="B35" s="54"/>
      <c r="C35" s="43"/>
      <c r="D35" s="43"/>
      <c r="E35" s="43"/>
      <c r="F35" s="43"/>
      <c r="G35" s="43"/>
      <c r="H35" s="43"/>
      <c r="I35" s="43"/>
      <c r="J35" s="87"/>
      <c r="K35" s="202"/>
      <c r="L35" s="43"/>
      <c r="M35" s="203"/>
      <c r="N35" s="204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 t="str">
        <f t="shared" si="2"/>
        <v/>
      </c>
      <c r="AI35" s="43" t="str">
        <f t="shared" si="3"/>
        <v/>
      </c>
      <c r="AJ35" s="43" t="str">
        <f t="shared" si="1"/>
        <v/>
      </c>
      <c r="AK35" s="43" t="str">
        <f t="shared" si="4"/>
        <v/>
      </c>
      <c r="AL35" s="43" t="str">
        <f t="shared" si="11"/>
        <v/>
      </c>
      <c r="AM35" s="43" t="str">
        <f t="shared" si="6"/>
        <v/>
      </c>
      <c r="AN35" s="43"/>
      <c r="AO35" s="43" t="str">
        <f t="shared" si="7"/>
        <v/>
      </c>
      <c r="AP35" s="43" t="str">
        <f t="shared" si="8"/>
        <v/>
      </c>
      <c r="AQ35" s="43"/>
      <c r="AR35" s="43"/>
      <c r="AS35" s="43"/>
      <c r="AT35" s="43" t="str">
        <f t="shared" si="9"/>
        <v/>
      </c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>
        <f t="shared" si="10"/>
        <v>0</v>
      </c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</row>
    <row r="36" spans="1:76" s="185" customFormat="1" ht="12" x14ac:dyDescent="0.25">
      <c r="A36" s="43"/>
      <c r="B36" s="54"/>
      <c r="C36" s="43"/>
      <c r="D36" s="43"/>
      <c r="E36" s="43"/>
      <c r="F36" s="43"/>
      <c r="G36" s="43"/>
      <c r="H36" s="43"/>
      <c r="I36" s="43"/>
      <c r="J36" s="87"/>
      <c r="K36" s="202"/>
      <c r="L36" s="43"/>
      <c r="M36" s="203"/>
      <c r="N36" s="204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 t="str">
        <f t="shared" si="2"/>
        <v/>
      </c>
      <c r="AI36" s="43" t="str">
        <f t="shared" si="3"/>
        <v/>
      </c>
      <c r="AJ36" s="43" t="str">
        <f t="shared" si="1"/>
        <v/>
      </c>
      <c r="AK36" s="43" t="str">
        <f t="shared" si="4"/>
        <v/>
      </c>
      <c r="AL36" s="43" t="str">
        <f t="shared" si="11"/>
        <v/>
      </c>
      <c r="AM36" s="43" t="str">
        <f t="shared" si="6"/>
        <v/>
      </c>
      <c r="AN36" s="43"/>
      <c r="AO36" s="43" t="str">
        <f t="shared" si="7"/>
        <v/>
      </c>
      <c r="AP36" s="43" t="str">
        <f t="shared" si="8"/>
        <v/>
      </c>
      <c r="AQ36" s="43"/>
      <c r="AR36" s="43"/>
      <c r="AS36" s="43"/>
      <c r="AT36" s="43" t="str">
        <f t="shared" si="9"/>
        <v/>
      </c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>
        <f t="shared" si="10"/>
        <v>0</v>
      </c>
      <c r="BG36" s="43"/>
      <c r="BH36" s="43"/>
      <c r="BI36" s="43"/>
      <c r="BJ36" s="43"/>
      <c r="BK36" s="43"/>
      <c r="BL36" s="43"/>
      <c r="BM36" s="43"/>
      <c r="BN36" s="43"/>
      <c r="BO36" s="43"/>
      <c r="BP36" s="43"/>
      <c r="BQ36" s="43"/>
      <c r="BR36" s="43"/>
      <c r="BS36" s="43"/>
    </row>
    <row r="37" spans="1:76" s="185" customFormat="1" ht="24.75" customHeight="1" x14ac:dyDescent="0.25">
      <c r="A37" s="43"/>
      <c r="B37" s="54"/>
      <c r="C37" s="43"/>
      <c r="D37" s="43"/>
      <c r="E37" s="43"/>
      <c r="F37" s="43"/>
      <c r="G37" s="43"/>
      <c r="H37" s="43"/>
      <c r="I37" s="43"/>
      <c r="J37" s="87"/>
      <c r="K37" s="202"/>
      <c r="L37" s="43"/>
      <c r="M37" s="203"/>
      <c r="N37" s="204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 t="str">
        <f t="shared" si="2"/>
        <v/>
      </c>
      <c r="AI37" s="43" t="str">
        <f t="shared" si="3"/>
        <v/>
      </c>
      <c r="AJ37" s="43" t="str">
        <f t="shared" si="1"/>
        <v/>
      </c>
      <c r="AK37" s="43" t="str">
        <f t="shared" si="4"/>
        <v/>
      </c>
      <c r="AL37" s="43" t="str">
        <f t="shared" si="11"/>
        <v/>
      </c>
      <c r="AM37" s="43" t="str">
        <f t="shared" si="6"/>
        <v/>
      </c>
      <c r="AN37" s="43"/>
      <c r="AO37" s="43" t="str">
        <f t="shared" si="7"/>
        <v/>
      </c>
      <c r="AP37" s="43" t="str">
        <f t="shared" si="8"/>
        <v/>
      </c>
      <c r="AQ37" s="43"/>
      <c r="AR37" s="43"/>
      <c r="AS37" s="43"/>
      <c r="AT37" s="43" t="str">
        <f t="shared" si="9"/>
        <v/>
      </c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>
        <f t="shared" si="10"/>
        <v>0</v>
      </c>
      <c r="BG37" s="43"/>
      <c r="BH37" s="43"/>
      <c r="BI37" s="43"/>
      <c r="BJ37" s="43"/>
      <c r="BK37" s="43"/>
      <c r="BL37" s="43"/>
      <c r="BM37" s="43"/>
      <c r="BN37" s="43"/>
      <c r="BO37" s="43"/>
      <c r="BP37" s="43"/>
      <c r="BQ37" s="43"/>
      <c r="BR37" s="43"/>
      <c r="BS37" s="43"/>
    </row>
    <row r="38" spans="1:76" s="185" customFormat="1" ht="13.5" customHeight="1" x14ac:dyDescent="0.25">
      <c r="A38" s="43"/>
      <c r="B38" s="54"/>
      <c r="C38" s="43"/>
      <c r="D38" s="43"/>
      <c r="E38" s="43"/>
      <c r="F38" s="43"/>
      <c r="G38" s="43"/>
      <c r="H38" s="43"/>
      <c r="I38" s="43"/>
      <c r="J38" s="87"/>
      <c r="K38" s="202"/>
      <c r="L38" s="43"/>
      <c r="M38" s="203"/>
      <c r="N38" s="204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 t="str">
        <f t="shared" si="2"/>
        <v/>
      </c>
      <c r="AI38" s="43" t="str">
        <f t="shared" si="3"/>
        <v/>
      </c>
      <c r="AJ38" s="43" t="str">
        <f t="shared" si="1"/>
        <v/>
      </c>
      <c r="AK38" s="43" t="str">
        <f t="shared" si="4"/>
        <v/>
      </c>
      <c r="AL38" s="43" t="str">
        <f t="shared" si="11"/>
        <v/>
      </c>
      <c r="AM38" s="43" t="str">
        <f t="shared" si="6"/>
        <v/>
      </c>
      <c r="AN38" s="43"/>
      <c r="AO38" s="43" t="str">
        <f t="shared" si="7"/>
        <v/>
      </c>
      <c r="AP38" s="43" t="str">
        <f t="shared" si="8"/>
        <v/>
      </c>
      <c r="AQ38" s="43"/>
      <c r="AR38" s="43"/>
      <c r="AS38" s="43"/>
      <c r="AT38" s="43" t="str">
        <f t="shared" si="9"/>
        <v/>
      </c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>
        <f t="shared" si="10"/>
        <v>0</v>
      </c>
      <c r="BG38" s="43"/>
      <c r="BH38" s="43"/>
      <c r="BI38" s="43"/>
      <c r="BJ38" s="43"/>
      <c r="BK38" s="43"/>
      <c r="BL38" s="43"/>
      <c r="BM38" s="43"/>
      <c r="BN38" s="43"/>
      <c r="BO38" s="43"/>
      <c r="BP38" s="43"/>
      <c r="BQ38" s="43"/>
      <c r="BR38" s="43"/>
      <c r="BS38" s="43"/>
    </row>
    <row r="39" spans="1:76" s="185" customFormat="1" ht="12" x14ac:dyDescent="0.25">
      <c r="A39" s="43"/>
      <c r="B39" s="54"/>
      <c r="C39" s="43"/>
      <c r="D39" s="43"/>
      <c r="E39" s="43"/>
      <c r="F39" s="43"/>
      <c r="G39" s="43"/>
      <c r="H39" s="43"/>
      <c r="I39" s="43"/>
      <c r="J39" s="87"/>
      <c r="K39" s="202"/>
      <c r="L39" s="43"/>
      <c r="M39" s="203"/>
      <c r="N39" s="204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 t="str">
        <f t="shared" si="2"/>
        <v/>
      </c>
      <c r="AI39" s="43" t="str">
        <f t="shared" si="3"/>
        <v/>
      </c>
      <c r="AJ39" s="43" t="str">
        <f t="shared" si="1"/>
        <v/>
      </c>
      <c r="AK39" s="43" t="str">
        <f t="shared" si="4"/>
        <v/>
      </c>
      <c r="AL39" s="43" t="str">
        <f t="shared" si="11"/>
        <v/>
      </c>
      <c r="AM39" s="43" t="str">
        <f t="shared" si="6"/>
        <v/>
      </c>
      <c r="AN39" s="43"/>
      <c r="AO39" s="43" t="str">
        <f t="shared" si="7"/>
        <v/>
      </c>
      <c r="AP39" s="43" t="str">
        <f t="shared" si="8"/>
        <v/>
      </c>
      <c r="AQ39" s="43"/>
      <c r="AR39" s="43"/>
      <c r="AS39" s="43"/>
      <c r="AT39" s="43" t="str">
        <f t="shared" si="9"/>
        <v/>
      </c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>
        <f t="shared" si="10"/>
        <v>0</v>
      </c>
      <c r="BG39" s="43"/>
      <c r="BH39" s="43"/>
      <c r="BI39" s="43"/>
      <c r="BJ39" s="43"/>
      <c r="BK39" s="43"/>
      <c r="BL39" s="43"/>
      <c r="BM39" s="43"/>
      <c r="BN39" s="43"/>
      <c r="BO39" s="43"/>
      <c r="BP39" s="43"/>
      <c r="BQ39" s="43"/>
      <c r="BR39" s="43"/>
      <c r="BS39" s="43"/>
    </row>
    <row r="40" spans="1:76" s="185" customFormat="1" ht="12" x14ac:dyDescent="0.25">
      <c r="A40" s="43"/>
      <c r="B40" s="54"/>
      <c r="C40" s="43"/>
      <c r="D40" s="43"/>
      <c r="E40" s="43"/>
      <c r="F40" s="43"/>
      <c r="G40" s="43"/>
      <c r="H40" s="43"/>
      <c r="I40" s="43"/>
      <c r="J40" s="87"/>
      <c r="K40" s="202"/>
      <c r="L40" s="43"/>
      <c r="M40" s="203"/>
      <c r="N40" s="204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 t="str">
        <f t="shared" si="2"/>
        <v/>
      </c>
      <c r="AI40" s="43" t="str">
        <f t="shared" si="3"/>
        <v/>
      </c>
      <c r="AJ40" s="43" t="str">
        <f t="shared" si="1"/>
        <v/>
      </c>
      <c r="AK40" s="43" t="str">
        <f t="shared" si="4"/>
        <v/>
      </c>
      <c r="AL40" s="43" t="str">
        <f t="shared" si="11"/>
        <v/>
      </c>
      <c r="AM40" s="43" t="str">
        <f t="shared" si="6"/>
        <v/>
      </c>
      <c r="AN40" s="43"/>
      <c r="AO40" s="43" t="str">
        <f t="shared" si="7"/>
        <v/>
      </c>
      <c r="AP40" s="43" t="str">
        <f t="shared" si="8"/>
        <v/>
      </c>
      <c r="AQ40" s="43"/>
      <c r="AR40" s="43"/>
      <c r="AS40" s="43"/>
      <c r="AT40" s="43" t="str">
        <f t="shared" si="9"/>
        <v/>
      </c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>
        <f t="shared" si="10"/>
        <v>0</v>
      </c>
      <c r="BG40" s="43"/>
      <c r="BH40" s="43"/>
      <c r="BI40" s="43"/>
      <c r="BJ40" s="43"/>
      <c r="BK40" s="43"/>
      <c r="BL40" s="43"/>
      <c r="BM40" s="43"/>
      <c r="BN40" s="43"/>
      <c r="BO40" s="43"/>
      <c r="BQ40" s="43"/>
      <c r="BR40" s="43"/>
      <c r="BS40" s="43"/>
    </row>
    <row r="41" spans="1:76" s="185" customFormat="1" ht="12" x14ac:dyDescent="0.25">
      <c r="A41" s="43"/>
      <c r="B41" s="54"/>
      <c r="C41" s="43"/>
      <c r="D41" s="43"/>
      <c r="E41" s="43"/>
      <c r="F41" s="43"/>
      <c r="G41" s="43"/>
      <c r="H41" s="43"/>
      <c r="I41" s="43"/>
      <c r="J41" s="87"/>
      <c r="K41" s="202"/>
      <c r="L41" s="43"/>
      <c r="M41" s="203"/>
      <c r="N41" s="204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 t="str">
        <f t="shared" si="2"/>
        <v/>
      </c>
      <c r="AI41" s="43" t="str">
        <f t="shared" si="3"/>
        <v/>
      </c>
      <c r="AJ41" s="43" t="str">
        <f t="shared" si="1"/>
        <v/>
      </c>
      <c r="AK41" s="43" t="str">
        <f t="shared" si="4"/>
        <v/>
      </c>
      <c r="AL41" s="43" t="str">
        <f t="shared" si="11"/>
        <v/>
      </c>
      <c r="AM41" s="43" t="str">
        <f t="shared" si="6"/>
        <v/>
      </c>
      <c r="AN41" s="43"/>
      <c r="AO41" s="43" t="str">
        <f t="shared" si="7"/>
        <v/>
      </c>
      <c r="AP41" s="43" t="str">
        <f t="shared" si="8"/>
        <v/>
      </c>
      <c r="AQ41" s="43"/>
      <c r="AR41" s="43"/>
      <c r="AS41" s="43"/>
      <c r="AT41" s="43" t="str">
        <f t="shared" si="9"/>
        <v/>
      </c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>
        <f t="shared" si="10"/>
        <v>0</v>
      </c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3"/>
      <c r="BR41" s="43"/>
      <c r="BS41" s="43"/>
    </row>
    <row r="42" spans="1:76" s="185" customFormat="1" ht="12" x14ac:dyDescent="0.25">
      <c r="A42" s="43"/>
      <c r="B42" s="54"/>
      <c r="C42" s="43"/>
      <c r="D42" s="43"/>
      <c r="E42" s="43"/>
      <c r="F42" s="43"/>
      <c r="G42" s="43"/>
      <c r="H42" s="43"/>
      <c r="I42" s="43"/>
      <c r="J42" s="87"/>
      <c r="K42" s="202"/>
      <c r="L42" s="43"/>
      <c r="M42" s="203"/>
      <c r="N42" s="204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 t="str">
        <f t="shared" si="2"/>
        <v/>
      </c>
      <c r="AI42" s="43" t="str">
        <f t="shared" si="3"/>
        <v/>
      </c>
      <c r="AJ42" s="43" t="str">
        <f t="shared" si="1"/>
        <v/>
      </c>
      <c r="AK42" s="43" t="str">
        <f t="shared" si="4"/>
        <v/>
      </c>
      <c r="AL42" s="43" t="str">
        <f t="shared" si="11"/>
        <v/>
      </c>
      <c r="AM42" s="43" t="str">
        <f t="shared" si="6"/>
        <v/>
      </c>
      <c r="AN42" s="43"/>
      <c r="AO42" s="43" t="str">
        <f t="shared" si="7"/>
        <v/>
      </c>
      <c r="AP42" s="43" t="str">
        <f t="shared" si="8"/>
        <v/>
      </c>
      <c r="AQ42" s="43"/>
      <c r="AR42" s="43"/>
      <c r="AS42" s="43"/>
      <c r="AT42" s="43" t="str">
        <f t="shared" si="9"/>
        <v/>
      </c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>
        <f t="shared" si="10"/>
        <v>0</v>
      </c>
      <c r="BG42" s="43"/>
      <c r="BH42" s="43"/>
      <c r="BI42" s="43"/>
      <c r="BJ42" s="43"/>
      <c r="BK42" s="43"/>
      <c r="BL42" s="43"/>
      <c r="BM42" s="43"/>
      <c r="BN42" s="43"/>
      <c r="BO42" s="43"/>
      <c r="BP42" s="43"/>
      <c r="BQ42" s="43"/>
      <c r="BR42" s="43"/>
      <c r="BS42" s="43"/>
    </row>
    <row r="43" spans="1:76" s="185" customFormat="1" ht="12" x14ac:dyDescent="0.25">
      <c r="A43" s="43"/>
      <c r="B43" s="54"/>
      <c r="C43" s="43"/>
      <c r="D43" s="43"/>
      <c r="E43" s="43"/>
      <c r="F43" s="43"/>
      <c r="G43" s="43"/>
      <c r="H43" s="43"/>
      <c r="I43" s="43"/>
      <c r="J43" s="87"/>
      <c r="K43" s="202"/>
      <c r="L43" s="43"/>
      <c r="M43" s="203"/>
      <c r="N43" s="204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 t="str">
        <f t="shared" si="2"/>
        <v/>
      </c>
      <c r="AI43" s="43" t="str">
        <f t="shared" si="3"/>
        <v/>
      </c>
      <c r="AJ43" s="43" t="str">
        <f t="shared" si="1"/>
        <v/>
      </c>
      <c r="AK43" s="43" t="str">
        <f t="shared" si="4"/>
        <v/>
      </c>
      <c r="AL43" s="43" t="str">
        <f t="shared" si="11"/>
        <v/>
      </c>
      <c r="AM43" s="43" t="str">
        <f t="shared" si="6"/>
        <v/>
      </c>
      <c r="AN43" s="43"/>
      <c r="AO43" s="43" t="str">
        <f t="shared" si="7"/>
        <v/>
      </c>
      <c r="AP43" s="43" t="str">
        <f t="shared" si="8"/>
        <v/>
      </c>
      <c r="AQ43" s="43"/>
      <c r="AR43" s="212"/>
      <c r="AS43" s="212"/>
      <c r="AT43" s="43" t="str">
        <f t="shared" si="9"/>
        <v/>
      </c>
      <c r="AU43" s="212"/>
      <c r="AV43" s="43"/>
      <c r="AW43" s="212"/>
      <c r="AX43" s="43"/>
      <c r="AY43" s="212"/>
      <c r="AZ43" s="212"/>
      <c r="BA43" s="212"/>
      <c r="BB43" s="212"/>
      <c r="BC43" s="43"/>
      <c r="BD43" s="212"/>
      <c r="BE43" s="212"/>
      <c r="BF43" s="43">
        <f t="shared" si="10"/>
        <v>0</v>
      </c>
      <c r="BG43" s="43"/>
      <c r="BH43" s="43"/>
      <c r="BI43" s="212"/>
      <c r="BJ43" s="43"/>
      <c r="BK43" s="212"/>
      <c r="BL43" s="43"/>
      <c r="BM43" s="212"/>
      <c r="BN43" s="212"/>
      <c r="BO43" s="212"/>
      <c r="BP43" s="212"/>
      <c r="BQ43" s="212"/>
      <c r="BR43" s="43"/>
      <c r="BS43" s="212"/>
      <c r="BU43" s="208"/>
      <c r="BV43" s="208"/>
      <c r="BW43" s="208"/>
      <c r="BX43" s="208"/>
    </row>
    <row r="44" spans="1:76" s="185" customFormat="1" ht="12" x14ac:dyDescent="0.25">
      <c r="A44" s="43"/>
      <c r="B44" s="54"/>
      <c r="C44" s="43"/>
      <c r="D44" s="43"/>
      <c r="E44" s="43"/>
      <c r="F44" s="43"/>
      <c r="G44" s="43"/>
      <c r="H44" s="43"/>
      <c r="I44" s="43"/>
      <c r="J44" s="87"/>
      <c r="K44" s="202"/>
      <c r="L44" s="43"/>
      <c r="M44" s="203"/>
      <c r="N44" s="204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 t="str">
        <f t="shared" si="2"/>
        <v/>
      </c>
      <c r="AI44" s="43" t="str">
        <f t="shared" si="3"/>
        <v/>
      </c>
      <c r="AJ44" s="43" t="str">
        <f t="shared" si="1"/>
        <v/>
      </c>
      <c r="AK44" s="43" t="str">
        <f t="shared" si="4"/>
        <v/>
      </c>
      <c r="AL44" s="43" t="str">
        <f t="shared" si="11"/>
        <v/>
      </c>
      <c r="AM44" s="43" t="str">
        <f t="shared" si="6"/>
        <v/>
      </c>
      <c r="AN44" s="43"/>
      <c r="AO44" s="43" t="str">
        <f t="shared" si="7"/>
        <v/>
      </c>
      <c r="AP44" s="43" t="str">
        <f t="shared" si="8"/>
        <v/>
      </c>
      <c r="AQ44" s="43"/>
      <c r="AR44" s="212"/>
      <c r="AS44" s="212"/>
      <c r="AT44" s="43" t="str">
        <f t="shared" si="9"/>
        <v/>
      </c>
      <c r="AU44" s="212"/>
      <c r="AV44" s="43"/>
      <c r="AW44" s="212"/>
      <c r="AX44" s="43"/>
      <c r="AY44" s="212"/>
      <c r="AZ44" s="212"/>
      <c r="BA44" s="212"/>
      <c r="BB44" s="212"/>
      <c r="BC44" s="43"/>
      <c r="BD44" s="212"/>
      <c r="BE44" s="212"/>
      <c r="BF44" s="43">
        <f t="shared" si="10"/>
        <v>0</v>
      </c>
      <c r="BG44" s="43"/>
      <c r="BH44" s="43"/>
      <c r="BJ44" s="212"/>
      <c r="BK44" s="212"/>
      <c r="BL44" s="212"/>
      <c r="BM44" s="212"/>
      <c r="BN44" s="212"/>
      <c r="BO44" s="212"/>
      <c r="BP44" s="212"/>
      <c r="BQ44" s="212"/>
      <c r="BR44" s="43"/>
      <c r="BS44" s="212"/>
      <c r="BU44" s="208"/>
      <c r="BV44" s="208"/>
      <c r="BW44" s="208"/>
      <c r="BX44" s="208"/>
    </row>
    <row r="45" spans="1:76" s="185" customFormat="1" ht="12" x14ac:dyDescent="0.25">
      <c r="A45" s="43"/>
      <c r="B45" s="54"/>
      <c r="C45" s="43"/>
      <c r="D45" s="43"/>
      <c r="E45" s="43"/>
      <c r="F45" s="43"/>
      <c r="G45" s="43"/>
      <c r="H45" s="43"/>
      <c r="I45" s="43"/>
      <c r="J45" s="87"/>
      <c r="K45" s="202"/>
      <c r="L45" s="43"/>
      <c r="M45" s="203"/>
      <c r="N45" s="204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 t="str">
        <f t="shared" si="2"/>
        <v/>
      </c>
      <c r="AI45" s="43" t="str">
        <f t="shared" si="3"/>
        <v/>
      </c>
      <c r="AJ45" s="43" t="str">
        <f t="shared" si="1"/>
        <v/>
      </c>
      <c r="AK45" s="43" t="str">
        <f t="shared" si="4"/>
        <v/>
      </c>
      <c r="AL45" s="43" t="str">
        <f t="shared" si="11"/>
        <v/>
      </c>
      <c r="AM45" s="43" t="str">
        <f t="shared" si="6"/>
        <v/>
      </c>
      <c r="AN45" s="43"/>
      <c r="AO45" s="43" t="str">
        <f t="shared" si="7"/>
        <v/>
      </c>
      <c r="AP45" s="43" t="str">
        <f t="shared" si="8"/>
        <v/>
      </c>
      <c r="AQ45" s="43"/>
      <c r="AR45" s="212"/>
      <c r="AS45" s="212"/>
      <c r="AT45" s="43" t="str">
        <f t="shared" si="9"/>
        <v/>
      </c>
      <c r="AU45" s="212"/>
      <c r="AV45" s="43"/>
      <c r="AW45" s="212"/>
      <c r="AX45" s="43"/>
      <c r="AY45" s="212"/>
      <c r="AZ45" s="212"/>
      <c r="BA45" s="212"/>
      <c r="BB45" s="212"/>
      <c r="BC45" s="43"/>
      <c r="BD45" s="212"/>
      <c r="BE45" s="212"/>
      <c r="BF45" s="43">
        <f t="shared" si="10"/>
        <v>0</v>
      </c>
      <c r="BG45" s="43"/>
      <c r="BH45" s="43"/>
      <c r="BI45" s="212"/>
      <c r="BJ45" s="43"/>
      <c r="BK45" s="212"/>
      <c r="BL45" s="212"/>
      <c r="BM45" s="212"/>
      <c r="BN45" s="212"/>
      <c r="BO45" s="43"/>
      <c r="BP45" s="212"/>
      <c r="BQ45" s="212"/>
      <c r="BR45" s="43"/>
      <c r="BS45" s="212"/>
      <c r="BU45" s="208"/>
      <c r="BV45" s="208"/>
      <c r="BW45" s="208"/>
      <c r="BX45" s="208"/>
    </row>
    <row r="46" spans="1:76" s="185" customFormat="1" ht="12" x14ac:dyDescent="0.25">
      <c r="A46" s="43"/>
      <c r="B46" s="54"/>
      <c r="C46" s="43"/>
      <c r="D46" s="43"/>
      <c r="E46" s="43"/>
      <c r="F46" s="43"/>
      <c r="G46" s="43"/>
      <c r="H46" s="43"/>
      <c r="I46" s="43"/>
      <c r="J46" s="87"/>
      <c r="K46" s="202"/>
      <c r="L46" s="43"/>
      <c r="M46" s="203"/>
      <c r="N46" s="204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 t="str">
        <f t="shared" si="2"/>
        <v/>
      </c>
      <c r="AI46" s="43" t="str">
        <f t="shared" si="3"/>
        <v/>
      </c>
      <c r="AJ46" s="43" t="str">
        <f>IF(M46&lt;&gt;"",M46*H46,"")</f>
        <v/>
      </c>
      <c r="AK46" s="43" t="str">
        <f t="shared" si="4"/>
        <v/>
      </c>
      <c r="AL46" s="43" t="str">
        <f t="shared" si="11"/>
        <v/>
      </c>
      <c r="AM46" s="43" t="str">
        <f t="shared" si="6"/>
        <v/>
      </c>
      <c r="AN46" s="43"/>
      <c r="AO46" s="43" t="str">
        <f t="shared" si="7"/>
        <v/>
      </c>
      <c r="AP46" s="43" t="str">
        <f t="shared" si="8"/>
        <v/>
      </c>
      <c r="AQ46" s="43"/>
      <c r="AR46" s="43"/>
      <c r="AS46" s="43"/>
      <c r="AT46" s="43" t="str">
        <f t="shared" si="9"/>
        <v/>
      </c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>
        <f t="shared" si="10"/>
        <v>0</v>
      </c>
      <c r="BG46" s="224"/>
      <c r="BH46" s="43"/>
      <c r="BI46" s="43"/>
      <c r="BJ46" s="43"/>
      <c r="BK46" s="43"/>
      <c r="BL46" s="43"/>
      <c r="BM46" s="43"/>
      <c r="BN46" s="212"/>
      <c r="BO46" s="43"/>
      <c r="BP46" s="43"/>
      <c r="BQ46" s="43"/>
      <c r="BR46" s="43"/>
      <c r="BS46" s="43"/>
    </row>
    <row r="47" spans="1:76" s="185" customFormat="1" ht="12" x14ac:dyDescent="0.25">
      <c r="A47" s="43"/>
      <c r="B47" s="54"/>
      <c r="C47" s="43"/>
      <c r="D47" s="43"/>
      <c r="E47" s="43"/>
      <c r="F47" s="43"/>
      <c r="G47" s="43"/>
      <c r="H47" s="43"/>
      <c r="I47" s="43"/>
      <c r="J47" s="87"/>
      <c r="K47" s="202"/>
      <c r="L47" s="43"/>
      <c r="M47" s="203"/>
      <c r="N47" s="204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 t="str">
        <f t="shared" si="2"/>
        <v/>
      </c>
      <c r="AI47" s="43" t="str">
        <f t="shared" si="3"/>
        <v/>
      </c>
      <c r="AJ47" s="43" t="str">
        <f t="shared" ref="AJ47:AJ60" si="12">IF(M47&lt;&gt;"",M47*H47,"")</f>
        <v/>
      </c>
      <c r="AK47" s="43" t="str">
        <f t="shared" si="4"/>
        <v/>
      </c>
      <c r="AL47" s="43" t="str">
        <f t="shared" si="11"/>
        <v/>
      </c>
      <c r="AM47" s="43" t="str">
        <f t="shared" si="6"/>
        <v/>
      </c>
      <c r="AN47" s="43"/>
      <c r="AO47" s="43" t="str">
        <f t="shared" si="7"/>
        <v/>
      </c>
      <c r="AP47" s="43" t="str">
        <f t="shared" si="8"/>
        <v/>
      </c>
      <c r="AQ47" s="43"/>
      <c r="AR47" s="43"/>
      <c r="AS47" s="43"/>
      <c r="AT47" s="43" t="str">
        <f t="shared" si="9"/>
        <v/>
      </c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>
        <f t="shared" si="10"/>
        <v>0</v>
      </c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</row>
    <row r="48" spans="1:76" s="185" customFormat="1" ht="12" x14ac:dyDescent="0.25">
      <c r="A48" s="43"/>
      <c r="B48" s="54"/>
      <c r="C48" s="43"/>
      <c r="D48" s="43"/>
      <c r="E48" s="43"/>
      <c r="F48" s="43"/>
      <c r="G48" s="43"/>
      <c r="H48" s="43"/>
      <c r="I48" s="43"/>
      <c r="J48" s="87"/>
      <c r="K48" s="202"/>
      <c r="L48" s="43"/>
      <c r="M48" s="203"/>
      <c r="N48" s="204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 t="str">
        <f t="shared" si="2"/>
        <v/>
      </c>
      <c r="AI48" s="43" t="str">
        <f t="shared" si="3"/>
        <v/>
      </c>
      <c r="AJ48" s="43" t="str">
        <f t="shared" si="12"/>
        <v/>
      </c>
      <c r="AK48" s="43" t="str">
        <f t="shared" si="4"/>
        <v/>
      </c>
      <c r="AL48" s="43" t="str">
        <f t="shared" si="11"/>
        <v/>
      </c>
      <c r="AM48" s="43" t="str">
        <f t="shared" si="6"/>
        <v/>
      </c>
      <c r="AN48" s="43"/>
      <c r="AO48" s="43" t="str">
        <f t="shared" si="7"/>
        <v/>
      </c>
      <c r="AP48" s="43" t="str">
        <f t="shared" si="8"/>
        <v/>
      </c>
      <c r="AQ48" s="43"/>
      <c r="AR48" s="43"/>
      <c r="AS48" s="43"/>
      <c r="AT48" s="43" t="str">
        <f t="shared" si="9"/>
        <v/>
      </c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>
        <f t="shared" si="10"/>
        <v>0</v>
      </c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</row>
    <row r="49" spans="1:76" s="185" customFormat="1" ht="12" x14ac:dyDescent="0.25">
      <c r="A49" s="43"/>
      <c r="B49" s="54"/>
      <c r="C49" s="43"/>
      <c r="D49" s="43"/>
      <c r="E49" s="43"/>
      <c r="F49" s="43"/>
      <c r="G49" s="43"/>
      <c r="H49" s="43"/>
      <c r="I49" s="43"/>
      <c r="J49" s="87"/>
      <c r="K49" s="202"/>
      <c r="L49" s="43"/>
      <c r="M49" s="203"/>
      <c r="N49" s="204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 t="str">
        <f t="shared" si="2"/>
        <v/>
      </c>
      <c r="AI49" s="43" t="str">
        <f t="shared" si="3"/>
        <v/>
      </c>
      <c r="AJ49" s="43" t="str">
        <f t="shared" si="12"/>
        <v/>
      </c>
      <c r="AK49" s="43" t="str">
        <f t="shared" si="4"/>
        <v/>
      </c>
      <c r="AL49" s="43" t="str">
        <f t="shared" si="11"/>
        <v/>
      </c>
      <c r="AM49" s="43" t="str">
        <f t="shared" si="6"/>
        <v/>
      </c>
      <c r="AN49" s="43"/>
      <c r="AO49" s="43" t="str">
        <f t="shared" si="7"/>
        <v/>
      </c>
      <c r="AP49" s="43" t="str">
        <f t="shared" si="8"/>
        <v/>
      </c>
      <c r="AQ49" s="43"/>
      <c r="AR49" s="43"/>
      <c r="AS49" s="43"/>
      <c r="AT49" s="43" t="str">
        <f t="shared" si="9"/>
        <v/>
      </c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>
        <f t="shared" si="10"/>
        <v>0</v>
      </c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</row>
    <row r="50" spans="1:76" s="185" customFormat="1" ht="12" x14ac:dyDescent="0.25">
      <c r="A50" s="43"/>
      <c r="B50" s="54"/>
      <c r="C50" s="43"/>
      <c r="D50" s="43"/>
      <c r="E50" s="43"/>
      <c r="F50" s="43"/>
      <c r="G50" s="43"/>
      <c r="H50" s="43"/>
      <c r="I50" s="43"/>
      <c r="J50" s="87"/>
      <c r="K50" s="202"/>
      <c r="L50" s="43"/>
      <c r="M50" s="203"/>
      <c r="N50" s="204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 t="str">
        <f t="shared" si="2"/>
        <v/>
      </c>
      <c r="AI50" s="43" t="str">
        <f t="shared" si="3"/>
        <v/>
      </c>
      <c r="AJ50" s="43" t="str">
        <f t="shared" si="12"/>
        <v/>
      </c>
      <c r="AK50" s="43" t="str">
        <f t="shared" si="4"/>
        <v/>
      </c>
      <c r="AL50" s="43" t="str">
        <f t="shared" si="11"/>
        <v/>
      </c>
      <c r="AM50" s="43" t="str">
        <f t="shared" si="6"/>
        <v/>
      </c>
      <c r="AN50" s="43"/>
      <c r="AO50" s="43" t="str">
        <f t="shared" si="7"/>
        <v/>
      </c>
      <c r="AP50" s="43" t="str">
        <f t="shared" si="8"/>
        <v/>
      </c>
      <c r="AQ50" s="43"/>
      <c r="AR50" s="212"/>
      <c r="AS50" s="212"/>
      <c r="AT50" s="43" t="str">
        <f t="shared" si="9"/>
        <v/>
      </c>
      <c r="AU50" s="212"/>
      <c r="AV50" s="43"/>
      <c r="AW50" s="212"/>
      <c r="AX50" s="43"/>
      <c r="AY50" s="212"/>
      <c r="AZ50" s="212"/>
      <c r="BA50" s="212"/>
      <c r="BB50" s="212"/>
      <c r="BC50" s="43"/>
      <c r="BD50" s="212"/>
      <c r="BE50" s="212"/>
      <c r="BF50" s="43">
        <f t="shared" si="10"/>
        <v>0</v>
      </c>
      <c r="BG50" s="43"/>
      <c r="BH50" s="43"/>
      <c r="BJ50" s="212"/>
      <c r="BK50" s="212"/>
      <c r="BL50" s="212"/>
      <c r="BM50" s="212"/>
      <c r="BN50" s="212"/>
      <c r="BO50" s="212"/>
      <c r="BP50" s="212"/>
      <c r="BQ50" s="212"/>
      <c r="BR50" s="43"/>
      <c r="BS50" s="212"/>
      <c r="BU50" s="208"/>
      <c r="BV50" s="208"/>
      <c r="BW50" s="208"/>
      <c r="BX50" s="208"/>
    </row>
    <row r="51" spans="1:76" s="185" customFormat="1" ht="12" x14ac:dyDescent="0.25">
      <c r="A51" s="43"/>
      <c r="B51" s="54"/>
      <c r="C51" s="43"/>
      <c r="D51" s="43"/>
      <c r="E51" s="43"/>
      <c r="F51" s="43"/>
      <c r="G51" s="43"/>
      <c r="H51" s="43"/>
      <c r="I51" s="43"/>
      <c r="J51" s="87"/>
      <c r="K51" s="202"/>
      <c r="L51" s="43"/>
      <c r="M51" s="203"/>
      <c r="N51" s="204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 t="str">
        <f t="shared" si="2"/>
        <v/>
      </c>
      <c r="AI51" s="43" t="str">
        <f t="shared" si="3"/>
        <v/>
      </c>
      <c r="AJ51" s="43" t="str">
        <f t="shared" si="12"/>
        <v/>
      </c>
      <c r="AK51" s="43" t="str">
        <f t="shared" si="4"/>
        <v/>
      </c>
      <c r="AL51" s="43" t="str">
        <f t="shared" si="11"/>
        <v/>
      </c>
      <c r="AM51" s="43" t="str">
        <f t="shared" si="6"/>
        <v/>
      </c>
      <c r="AN51" s="43"/>
      <c r="AO51" s="43" t="str">
        <f t="shared" si="7"/>
        <v/>
      </c>
      <c r="AP51" s="43" t="str">
        <f t="shared" si="8"/>
        <v/>
      </c>
      <c r="AQ51" s="43"/>
      <c r="AR51" s="212"/>
      <c r="AS51" s="212"/>
      <c r="AT51" s="43" t="str">
        <f t="shared" si="9"/>
        <v/>
      </c>
      <c r="AU51" s="212"/>
      <c r="AV51" s="43"/>
      <c r="AW51" s="212"/>
      <c r="AX51" s="43"/>
      <c r="AY51" s="212"/>
      <c r="AZ51" s="212"/>
      <c r="BA51" s="212"/>
      <c r="BB51" s="212"/>
      <c r="BC51" s="43"/>
      <c r="BD51" s="212"/>
      <c r="BE51" s="212"/>
      <c r="BF51" s="43">
        <f t="shared" si="10"/>
        <v>0</v>
      </c>
      <c r="BG51" s="43"/>
      <c r="BH51" s="43"/>
      <c r="BI51" s="212"/>
      <c r="BJ51" s="43"/>
      <c r="BK51" s="212"/>
      <c r="BL51" s="43"/>
      <c r="BM51" s="212"/>
      <c r="BN51" s="212"/>
      <c r="BO51" s="212"/>
      <c r="BP51" s="212"/>
      <c r="BQ51" s="212"/>
      <c r="BR51" s="43"/>
      <c r="BS51" s="212"/>
      <c r="BU51" s="208"/>
      <c r="BV51" s="208"/>
      <c r="BW51" s="208"/>
      <c r="BX51" s="208"/>
    </row>
    <row r="52" spans="1:76" s="185" customFormat="1" ht="12" x14ac:dyDescent="0.25">
      <c r="A52" s="43"/>
      <c r="B52" s="54"/>
      <c r="C52" s="43"/>
      <c r="D52" s="43"/>
      <c r="E52" s="43"/>
      <c r="F52" s="43"/>
      <c r="G52" s="43"/>
      <c r="H52" s="43"/>
      <c r="I52" s="43"/>
      <c r="J52" s="87"/>
      <c r="K52" s="202"/>
      <c r="L52" s="43"/>
      <c r="M52" s="203"/>
      <c r="N52" s="204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 t="str">
        <f t="shared" si="2"/>
        <v/>
      </c>
      <c r="AI52" s="43" t="str">
        <f t="shared" si="3"/>
        <v/>
      </c>
      <c r="AJ52" s="43" t="str">
        <f t="shared" si="12"/>
        <v/>
      </c>
      <c r="AK52" s="43" t="str">
        <f t="shared" si="4"/>
        <v/>
      </c>
      <c r="AL52" s="43" t="str">
        <f t="shared" si="11"/>
        <v/>
      </c>
      <c r="AM52" s="43" t="str">
        <f t="shared" si="6"/>
        <v/>
      </c>
      <c r="AN52" s="43"/>
      <c r="AO52" s="43" t="str">
        <f t="shared" si="7"/>
        <v/>
      </c>
      <c r="AP52" s="43" t="str">
        <f t="shared" si="8"/>
        <v/>
      </c>
      <c r="AQ52" s="43"/>
      <c r="AR52" s="212"/>
      <c r="AS52" s="212"/>
      <c r="AT52" s="43" t="str">
        <f t="shared" si="9"/>
        <v/>
      </c>
      <c r="AU52" s="212"/>
      <c r="AV52" s="43"/>
      <c r="AW52" s="212"/>
      <c r="AX52" s="43"/>
      <c r="AY52" s="212"/>
      <c r="AZ52" s="212"/>
      <c r="BA52" s="212"/>
      <c r="BB52" s="212"/>
      <c r="BC52" s="43"/>
      <c r="BD52" s="212"/>
      <c r="BE52" s="212"/>
      <c r="BF52" s="43">
        <f t="shared" si="10"/>
        <v>0</v>
      </c>
      <c r="BG52" s="43"/>
      <c r="BH52" s="43"/>
      <c r="BI52" s="212"/>
      <c r="BJ52" s="43"/>
      <c r="BK52" s="212"/>
      <c r="BL52" s="212"/>
      <c r="BM52" s="212"/>
      <c r="BN52" s="212"/>
      <c r="BO52" s="212"/>
      <c r="BP52" s="212"/>
      <c r="BQ52" s="212"/>
      <c r="BR52" s="43"/>
      <c r="BS52" s="212"/>
      <c r="BU52" s="208"/>
      <c r="BV52" s="208"/>
      <c r="BW52" s="208"/>
      <c r="BX52" s="208"/>
    </row>
    <row r="53" spans="1:76" s="185" customFormat="1" ht="12" x14ac:dyDescent="0.25">
      <c r="A53" s="43"/>
      <c r="B53" s="54"/>
      <c r="C53" s="43"/>
      <c r="D53" s="43"/>
      <c r="E53" s="43"/>
      <c r="F53" s="43"/>
      <c r="G53" s="43"/>
      <c r="H53" s="43"/>
      <c r="I53" s="43"/>
      <c r="J53" s="87"/>
      <c r="K53" s="202"/>
      <c r="L53" s="43"/>
      <c r="M53" s="203"/>
      <c r="N53" s="204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 t="str">
        <f t="shared" si="2"/>
        <v/>
      </c>
      <c r="AI53" s="43" t="str">
        <f t="shared" si="3"/>
        <v/>
      </c>
      <c r="AJ53" s="43" t="str">
        <f t="shared" si="12"/>
        <v/>
      </c>
      <c r="AK53" s="43" t="str">
        <f t="shared" si="4"/>
        <v/>
      </c>
      <c r="AL53" s="43" t="str">
        <f t="shared" si="11"/>
        <v/>
      </c>
      <c r="AM53" s="43" t="str">
        <f t="shared" si="6"/>
        <v/>
      </c>
      <c r="AN53" s="43"/>
      <c r="AO53" s="43" t="str">
        <f t="shared" si="7"/>
        <v/>
      </c>
      <c r="AP53" s="43" t="str">
        <f t="shared" si="8"/>
        <v/>
      </c>
      <c r="AQ53" s="43"/>
      <c r="AR53" s="43"/>
      <c r="AS53" s="43"/>
      <c r="AT53" s="43" t="str">
        <f t="shared" si="9"/>
        <v/>
      </c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>
        <f t="shared" si="10"/>
        <v>0</v>
      </c>
      <c r="BG53" s="224"/>
      <c r="BH53" s="43"/>
      <c r="BI53" s="43"/>
      <c r="BJ53" s="43"/>
      <c r="BK53" s="43"/>
      <c r="BL53" s="43"/>
      <c r="BM53" s="43"/>
      <c r="BN53" s="43"/>
      <c r="BO53" s="43"/>
      <c r="BP53" s="43"/>
      <c r="BQ53" s="43"/>
      <c r="BR53" s="43"/>
      <c r="BS53" s="43"/>
    </row>
    <row r="54" spans="1:76" s="185" customFormat="1" ht="12" x14ac:dyDescent="0.25">
      <c r="A54" s="43"/>
      <c r="B54" s="54"/>
      <c r="C54" s="43"/>
      <c r="D54" s="43"/>
      <c r="E54" s="43"/>
      <c r="F54" s="43"/>
      <c r="G54" s="43"/>
      <c r="H54" s="43"/>
      <c r="I54" s="43"/>
      <c r="J54" s="87"/>
      <c r="K54" s="202"/>
      <c r="L54" s="43"/>
      <c r="M54" s="203"/>
      <c r="N54" s="204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 t="str">
        <f t="shared" si="2"/>
        <v/>
      </c>
      <c r="AI54" s="43" t="str">
        <f t="shared" si="3"/>
        <v/>
      </c>
      <c r="AJ54" s="43" t="str">
        <f t="shared" si="12"/>
        <v/>
      </c>
      <c r="AK54" s="43" t="str">
        <f t="shared" si="4"/>
        <v/>
      </c>
      <c r="AL54" s="43" t="str">
        <f t="shared" si="11"/>
        <v/>
      </c>
      <c r="AM54" s="43" t="str">
        <f t="shared" si="6"/>
        <v/>
      </c>
      <c r="AN54" s="43"/>
      <c r="AO54" s="43" t="str">
        <f t="shared" si="7"/>
        <v/>
      </c>
      <c r="AP54" s="43" t="str">
        <f t="shared" si="8"/>
        <v/>
      </c>
      <c r="AQ54" s="43"/>
      <c r="AR54" s="43"/>
      <c r="AS54" s="43"/>
      <c r="AT54" s="43" t="str">
        <f t="shared" si="9"/>
        <v/>
      </c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>
        <f t="shared" si="10"/>
        <v>0</v>
      </c>
      <c r="BG54" s="224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43"/>
    </row>
    <row r="55" spans="1:76" s="205" customFormat="1" x14ac:dyDescent="0.25">
      <c r="A55" s="43"/>
      <c r="B55" s="54"/>
      <c r="C55" s="43"/>
      <c r="D55" s="43"/>
      <c r="E55" s="43"/>
      <c r="F55" s="43"/>
      <c r="G55" s="43"/>
      <c r="H55" s="43"/>
      <c r="I55" s="43"/>
      <c r="J55" s="87"/>
      <c r="K55" s="202"/>
      <c r="L55" s="43"/>
      <c r="M55" s="203"/>
      <c r="N55" s="204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 t="str">
        <f t="shared" si="2"/>
        <v/>
      </c>
      <c r="AI55" s="43" t="str">
        <f t="shared" si="3"/>
        <v/>
      </c>
      <c r="AJ55" s="43" t="str">
        <f t="shared" si="12"/>
        <v/>
      </c>
      <c r="AK55" s="43" t="str">
        <f t="shared" si="4"/>
        <v/>
      </c>
      <c r="AL55" s="43" t="str">
        <f t="shared" si="11"/>
        <v/>
      </c>
      <c r="AM55" s="43" t="str">
        <f t="shared" si="6"/>
        <v/>
      </c>
      <c r="AN55" s="43"/>
      <c r="AO55" s="43" t="str">
        <f t="shared" si="7"/>
        <v/>
      </c>
      <c r="AP55" s="43" t="str">
        <f t="shared" si="8"/>
        <v/>
      </c>
      <c r="AQ55" s="43"/>
      <c r="AR55" s="43"/>
      <c r="AS55" s="43"/>
      <c r="AT55" s="43" t="str">
        <f t="shared" si="9"/>
        <v/>
      </c>
      <c r="AU55" s="185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>
        <f t="shared" si="10"/>
        <v>0</v>
      </c>
      <c r="BG55" s="224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</row>
    <row r="56" spans="1:76" s="185" customFormat="1" ht="12" x14ac:dyDescent="0.25">
      <c r="A56" s="43"/>
      <c r="B56" s="224"/>
      <c r="C56" s="43"/>
      <c r="D56" s="43"/>
      <c r="E56" s="43"/>
      <c r="F56" s="43"/>
      <c r="G56" s="43"/>
      <c r="H56" s="43"/>
      <c r="I56" s="43"/>
      <c r="J56" s="43"/>
      <c r="K56" s="202"/>
      <c r="L56" s="43"/>
      <c r="M56" s="20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 t="str">
        <f t="shared" si="2"/>
        <v/>
      </c>
      <c r="AI56" s="43" t="str">
        <f t="shared" si="3"/>
        <v/>
      </c>
      <c r="AJ56" s="43" t="str">
        <f t="shared" si="12"/>
        <v/>
      </c>
      <c r="AK56" s="43" t="str">
        <f t="shared" si="4"/>
        <v/>
      </c>
      <c r="AL56" s="43" t="str">
        <f t="shared" si="11"/>
        <v/>
      </c>
      <c r="AM56" s="43" t="str">
        <f t="shared" si="6"/>
        <v/>
      </c>
      <c r="AN56" s="43"/>
      <c r="AO56" s="43" t="str">
        <f t="shared" si="7"/>
        <v/>
      </c>
      <c r="AP56" s="43" t="str">
        <f t="shared" si="8"/>
        <v/>
      </c>
      <c r="AQ56" s="43"/>
      <c r="AR56" s="43"/>
      <c r="AS56" s="43"/>
      <c r="AT56" s="43" t="str">
        <f t="shared" si="9"/>
        <v/>
      </c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>
        <f t="shared" si="10"/>
        <v>0</v>
      </c>
      <c r="BG56" s="225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</row>
    <row r="57" spans="1:76" s="185" customFormat="1" ht="12" x14ac:dyDescent="0.25">
      <c r="A57" s="43"/>
      <c r="B57" s="201"/>
      <c r="C57" s="43"/>
      <c r="D57" s="43"/>
      <c r="E57" s="43"/>
      <c r="F57" s="43"/>
      <c r="G57" s="43"/>
      <c r="H57" s="43"/>
      <c r="I57" s="43"/>
      <c r="J57" s="87"/>
      <c r="K57" s="202"/>
      <c r="L57" s="43"/>
      <c r="M57" s="203"/>
      <c r="N57" s="204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 t="str">
        <f t="shared" si="2"/>
        <v/>
      </c>
      <c r="AI57" s="43" t="str">
        <f t="shared" si="3"/>
        <v/>
      </c>
      <c r="AJ57" s="43" t="str">
        <f t="shared" si="12"/>
        <v/>
      </c>
      <c r="AK57" s="43" t="str">
        <f t="shared" si="4"/>
        <v/>
      </c>
      <c r="AL57" s="43" t="str">
        <f t="shared" si="11"/>
        <v/>
      </c>
      <c r="AM57" s="43" t="str">
        <f t="shared" si="6"/>
        <v/>
      </c>
      <c r="AN57" s="43"/>
      <c r="AO57" s="43" t="str">
        <f t="shared" si="7"/>
        <v/>
      </c>
      <c r="AP57" s="43" t="str">
        <f t="shared" si="8"/>
        <v/>
      </c>
      <c r="AQ57" s="43"/>
      <c r="AR57" s="43"/>
      <c r="AS57" s="43"/>
      <c r="AT57" s="43" t="str">
        <f t="shared" si="9"/>
        <v/>
      </c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>
        <f t="shared" si="10"/>
        <v>0</v>
      </c>
      <c r="BG57" s="43"/>
      <c r="BH57" s="43"/>
      <c r="BI57" s="43"/>
      <c r="BJ57" s="43"/>
      <c r="BK57" s="43"/>
      <c r="BL57" s="43"/>
      <c r="BM57" s="43"/>
      <c r="BN57" s="43"/>
      <c r="BO57" s="43"/>
      <c r="BP57" s="43"/>
      <c r="BQ57" s="43"/>
      <c r="BR57" s="43"/>
      <c r="BS57" s="43"/>
    </row>
    <row r="58" spans="1:76" s="185" customFormat="1" ht="12" x14ac:dyDescent="0.25">
      <c r="A58" s="43"/>
      <c r="B58" s="201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 t="str">
        <f t="shared" si="2"/>
        <v/>
      </c>
      <c r="AI58" s="43" t="str">
        <f t="shared" si="3"/>
        <v/>
      </c>
      <c r="AJ58" s="43" t="str">
        <f t="shared" si="12"/>
        <v/>
      </c>
      <c r="AK58" s="43" t="str">
        <f t="shared" si="4"/>
        <v/>
      </c>
      <c r="AL58" s="43" t="str">
        <f t="shared" si="11"/>
        <v/>
      </c>
      <c r="AM58" s="43" t="str">
        <f t="shared" si="6"/>
        <v/>
      </c>
      <c r="AN58" s="43"/>
      <c r="AO58" s="43" t="str">
        <f t="shared" si="7"/>
        <v/>
      </c>
      <c r="AP58" s="43" t="str">
        <f t="shared" si="8"/>
        <v/>
      </c>
      <c r="AQ58" s="43"/>
      <c r="AR58" s="43"/>
      <c r="AS58" s="43"/>
      <c r="AT58" s="43" t="str">
        <f t="shared" si="9"/>
        <v/>
      </c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>
        <f t="shared" si="10"/>
        <v>0</v>
      </c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</row>
    <row r="59" spans="1:76" s="185" customFormat="1" ht="12" x14ac:dyDescent="0.25">
      <c r="A59" s="43"/>
      <c r="B59" s="224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 t="str">
        <f t="shared" si="2"/>
        <v/>
      </c>
      <c r="AI59" s="43" t="str">
        <f t="shared" si="3"/>
        <v/>
      </c>
      <c r="AJ59" s="43" t="str">
        <f t="shared" si="12"/>
        <v/>
      </c>
      <c r="AK59" s="43" t="str">
        <f t="shared" si="4"/>
        <v/>
      </c>
      <c r="AL59" s="43" t="str">
        <f t="shared" si="11"/>
        <v/>
      </c>
      <c r="AM59" s="43" t="str">
        <f t="shared" si="6"/>
        <v/>
      </c>
      <c r="AN59" s="43"/>
      <c r="AO59" s="43" t="str">
        <f t="shared" si="7"/>
        <v/>
      </c>
      <c r="AP59" s="43" t="str">
        <f t="shared" si="8"/>
        <v/>
      </c>
      <c r="AQ59" s="43"/>
      <c r="AR59" s="43"/>
      <c r="AS59" s="43"/>
      <c r="AT59" s="43" t="str">
        <f t="shared" si="9"/>
        <v/>
      </c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>
        <f t="shared" si="10"/>
        <v>0</v>
      </c>
      <c r="BG59" s="225"/>
      <c r="BH59" s="43"/>
      <c r="BI59" s="43"/>
      <c r="BJ59" s="43"/>
      <c r="BK59" s="43"/>
      <c r="BL59" s="43"/>
      <c r="BM59" s="43"/>
      <c r="BN59" s="43"/>
      <c r="BO59" s="43"/>
      <c r="BP59" s="43"/>
      <c r="BQ59" s="43"/>
      <c r="BR59" s="43"/>
      <c r="BS59" s="43"/>
    </row>
    <row r="60" spans="1:76" s="205" customFormat="1" x14ac:dyDescent="0.25">
      <c r="A60" s="43"/>
      <c r="B60" s="185"/>
      <c r="C60" s="43"/>
      <c r="D60" s="43"/>
      <c r="E60" s="43"/>
      <c r="F60" s="43"/>
      <c r="G60" s="43"/>
      <c r="H60" s="43"/>
      <c r="I60" s="43"/>
      <c r="J60" s="87"/>
      <c r="K60" s="202"/>
      <c r="L60" s="43"/>
      <c r="M60" s="203"/>
      <c r="N60" s="204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 t="str">
        <f t="shared" si="2"/>
        <v/>
      </c>
      <c r="AI60" s="43" t="str">
        <f t="shared" si="3"/>
        <v/>
      </c>
      <c r="AJ60" s="43" t="str">
        <f t="shared" si="12"/>
        <v/>
      </c>
      <c r="AK60" s="43" t="str">
        <f t="shared" si="4"/>
        <v/>
      </c>
      <c r="AL60" s="43" t="str">
        <f t="shared" si="11"/>
        <v/>
      </c>
      <c r="AM60" s="43" t="str">
        <f t="shared" si="6"/>
        <v/>
      </c>
      <c r="AN60" s="43"/>
      <c r="AO60" s="43" t="str">
        <f t="shared" si="7"/>
        <v/>
      </c>
      <c r="AP60" s="43" t="str">
        <f t="shared" si="8"/>
        <v/>
      </c>
      <c r="AQ60" s="43"/>
      <c r="AR60" s="43"/>
      <c r="AS60" s="43"/>
      <c r="AT60" s="43" t="str">
        <f t="shared" si="9"/>
        <v/>
      </c>
      <c r="AU60" s="185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>
        <f t="shared" si="10"/>
        <v>0</v>
      </c>
      <c r="BG60" s="224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</row>
    <row r="61" spans="1:76" s="205" customFormat="1" x14ac:dyDescent="0.25">
      <c r="B61" s="226"/>
    </row>
    <row r="62" spans="1:76" s="205" customFormat="1" x14ac:dyDescent="0.25">
      <c r="B62" s="227"/>
    </row>
    <row r="63" spans="1:76" s="205" customFormat="1" x14ac:dyDescent="0.25">
      <c r="B63" s="226"/>
    </row>
    <row r="64" spans="1:76" s="205" customFormat="1" x14ac:dyDescent="0.25">
      <c r="B64" s="227"/>
    </row>
    <row r="65" spans="2:2" s="205" customFormat="1" x14ac:dyDescent="0.25">
      <c r="B65" s="227"/>
    </row>
    <row r="66" spans="2:2" s="205" customFormat="1" x14ac:dyDescent="0.25">
      <c r="B66" s="227"/>
    </row>
    <row r="67" spans="2:2" s="205" customFormat="1" x14ac:dyDescent="0.25">
      <c r="B67" s="227"/>
    </row>
    <row r="68" spans="2:2" s="205" customFormat="1" x14ac:dyDescent="0.25">
      <c r="B68" s="226"/>
    </row>
    <row r="69" spans="2:2" s="205" customFormat="1" x14ac:dyDescent="0.25">
      <c r="B69" s="226"/>
    </row>
    <row r="70" spans="2:2" s="205" customFormat="1" x14ac:dyDescent="0.25">
      <c r="B70" s="226"/>
    </row>
    <row r="71" spans="2:2" s="205" customFormat="1" x14ac:dyDescent="0.25">
      <c r="B71" s="226"/>
    </row>
    <row r="72" spans="2:2" s="205" customFormat="1" x14ac:dyDescent="0.25">
      <c r="B72" s="226"/>
    </row>
    <row r="73" spans="2:2" s="205" customFormat="1" x14ac:dyDescent="0.25">
      <c r="B73" s="226"/>
    </row>
    <row r="74" spans="2:2" s="205" customFormat="1" x14ac:dyDescent="0.25">
      <c r="B74" s="226"/>
    </row>
    <row r="75" spans="2:2" s="205" customFormat="1" x14ac:dyDescent="0.25">
      <c r="B75" s="226"/>
    </row>
    <row r="76" spans="2:2" s="205" customFormat="1" x14ac:dyDescent="0.25">
      <c r="B76" s="226"/>
    </row>
    <row r="77" spans="2:2" s="205" customFormat="1" x14ac:dyDescent="0.25">
      <c r="B77" s="226"/>
    </row>
    <row r="78" spans="2:2" s="205" customFormat="1" x14ac:dyDescent="0.25">
      <c r="B78" s="226"/>
    </row>
    <row r="79" spans="2:2" s="205" customFormat="1" x14ac:dyDescent="0.25">
      <c r="B79" s="226"/>
    </row>
    <row r="80" spans="2:2" s="205" customFormat="1" x14ac:dyDescent="0.25">
      <c r="B80" s="226"/>
    </row>
    <row r="81" spans="2:2" s="205" customFormat="1" x14ac:dyDescent="0.25">
      <c r="B81" s="226"/>
    </row>
    <row r="82" spans="2:2" s="205" customFormat="1" x14ac:dyDescent="0.25">
      <c r="B82" s="226"/>
    </row>
    <row r="83" spans="2:2" s="205" customFormat="1" x14ac:dyDescent="0.25">
      <c r="B83" s="226"/>
    </row>
    <row r="84" spans="2:2" s="205" customFormat="1" x14ac:dyDescent="0.25">
      <c r="B84" s="226"/>
    </row>
    <row r="85" spans="2:2" s="205" customFormat="1" x14ac:dyDescent="0.25">
      <c r="B85" s="226"/>
    </row>
    <row r="86" spans="2:2" s="205" customFormat="1" x14ac:dyDescent="0.25">
      <c r="B86" s="226"/>
    </row>
    <row r="87" spans="2:2" s="205" customFormat="1" x14ac:dyDescent="0.25">
      <c r="B87" s="226"/>
    </row>
    <row r="88" spans="2:2" s="205" customFormat="1" x14ac:dyDescent="0.25">
      <c r="B88" s="226"/>
    </row>
    <row r="89" spans="2:2" s="205" customFormat="1" x14ac:dyDescent="0.25">
      <c r="B89" s="226"/>
    </row>
    <row r="90" spans="2:2" s="205" customFormat="1" x14ac:dyDescent="0.25">
      <c r="B90" s="226"/>
    </row>
    <row r="91" spans="2:2" s="205" customFormat="1" x14ac:dyDescent="0.25">
      <c r="B91" s="226"/>
    </row>
    <row r="92" spans="2:2" s="205" customFormat="1" x14ac:dyDescent="0.25">
      <c r="B92" s="226"/>
    </row>
    <row r="93" spans="2:2" s="205" customFormat="1" x14ac:dyDescent="0.25">
      <c r="B93" s="226"/>
    </row>
    <row r="94" spans="2:2" s="205" customFormat="1" x14ac:dyDescent="0.25">
      <c r="B94" s="226"/>
    </row>
    <row r="95" spans="2:2" s="205" customFormat="1" x14ac:dyDescent="0.25">
      <c r="B95" s="226"/>
    </row>
    <row r="96" spans="2:2" s="205" customFormat="1" x14ac:dyDescent="0.25">
      <c r="B96" s="226"/>
    </row>
    <row r="97" spans="2:2" s="205" customFormat="1" x14ac:dyDescent="0.25">
      <c r="B97" s="226"/>
    </row>
    <row r="98" spans="2:2" s="205" customFormat="1" x14ac:dyDescent="0.25">
      <c r="B98" s="226"/>
    </row>
    <row r="99" spans="2:2" s="205" customFormat="1" x14ac:dyDescent="0.25">
      <c r="B99" s="226"/>
    </row>
    <row r="100" spans="2:2" s="205" customFormat="1" x14ac:dyDescent="0.25">
      <c r="B100" s="226"/>
    </row>
    <row r="101" spans="2:2" s="205" customFormat="1" x14ac:dyDescent="0.25">
      <c r="B101" s="226"/>
    </row>
    <row r="102" spans="2:2" s="205" customFormat="1" x14ac:dyDescent="0.25">
      <c r="B102" s="226"/>
    </row>
    <row r="103" spans="2:2" s="205" customFormat="1" x14ac:dyDescent="0.25">
      <c r="B103" s="226"/>
    </row>
    <row r="104" spans="2:2" s="205" customFormat="1" x14ac:dyDescent="0.25">
      <c r="B104" s="226"/>
    </row>
    <row r="105" spans="2:2" s="205" customFormat="1" x14ac:dyDescent="0.25">
      <c r="B105" s="226"/>
    </row>
    <row r="106" spans="2:2" s="205" customFormat="1" x14ac:dyDescent="0.25">
      <c r="B106" s="226"/>
    </row>
    <row r="107" spans="2:2" s="205" customFormat="1" x14ac:dyDescent="0.25">
      <c r="B107" s="226"/>
    </row>
    <row r="108" spans="2:2" s="205" customFormat="1" x14ac:dyDescent="0.25">
      <c r="B108" s="226"/>
    </row>
    <row r="109" spans="2:2" s="205" customFormat="1" x14ac:dyDescent="0.25">
      <c r="B109" s="226"/>
    </row>
    <row r="110" spans="2:2" s="205" customFormat="1" x14ac:dyDescent="0.25">
      <c r="B110" s="226"/>
    </row>
    <row r="111" spans="2:2" s="205" customFormat="1" x14ac:dyDescent="0.25">
      <c r="B111" s="226"/>
    </row>
    <row r="112" spans="2:2" s="205" customFormat="1" x14ac:dyDescent="0.25">
      <c r="B112" s="226"/>
    </row>
    <row r="113" spans="2:2" s="205" customFormat="1" x14ac:dyDescent="0.25">
      <c r="B113" s="226"/>
    </row>
    <row r="114" spans="2:2" s="205" customFormat="1" x14ac:dyDescent="0.25">
      <c r="B114" s="226"/>
    </row>
    <row r="115" spans="2:2" s="205" customFormat="1" x14ac:dyDescent="0.25">
      <c r="B115" s="226"/>
    </row>
    <row r="116" spans="2:2" s="205" customFormat="1" x14ac:dyDescent="0.25">
      <c r="B116" s="226"/>
    </row>
    <row r="117" spans="2:2" s="205" customFormat="1" x14ac:dyDescent="0.25">
      <c r="B117" s="226"/>
    </row>
    <row r="118" spans="2:2" s="205" customFormat="1" x14ac:dyDescent="0.25">
      <c r="B118" s="226"/>
    </row>
    <row r="119" spans="2:2" s="205" customFormat="1" x14ac:dyDescent="0.25">
      <c r="B119" s="226"/>
    </row>
    <row r="120" spans="2:2" s="205" customFormat="1" x14ac:dyDescent="0.25">
      <c r="B120" s="226"/>
    </row>
    <row r="121" spans="2:2" s="205" customFormat="1" x14ac:dyDescent="0.25">
      <c r="B121" s="226"/>
    </row>
    <row r="122" spans="2:2" s="205" customFormat="1" x14ac:dyDescent="0.25">
      <c r="B122" s="226"/>
    </row>
    <row r="123" spans="2:2" s="205" customFormat="1" x14ac:dyDescent="0.25">
      <c r="B123" s="226"/>
    </row>
    <row r="124" spans="2:2" s="205" customFormat="1" x14ac:dyDescent="0.25">
      <c r="B124" s="226"/>
    </row>
    <row r="125" spans="2:2" s="205" customFormat="1" x14ac:dyDescent="0.25">
      <c r="B125" s="226"/>
    </row>
    <row r="126" spans="2:2" s="205" customFormat="1" x14ac:dyDescent="0.25">
      <c r="B126" s="226"/>
    </row>
    <row r="127" spans="2:2" s="205" customFormat="1" x14ac:dyDescent="0.25">
      <c r="B127" s="226"/>
    </row>
    <row r="128" spans="2:2" s="205" customFormat="1" x14ac:dyDescent="0.25">
      <c r="B128" s="226"/>
    </row>
    <row r="129" spans="2:2" s="205" customFormat="1" x14ac:dyDescent="0.25">
      <c r="B129" s="226"/>
    </row>
    <row r="130" spans="2:2" s="205" customFormat="1" x14ac:dyDescent="0.25">
      <c r="B130" s="226"/>
    </row>
    <row r="131" spans="2:2" s="205" customFormat="1" x14ac:dyDescent="0.25">
      <c r="B131" s="226"/>
    </row>
    <row r="132" spans="2:2" s="205" customFormat="1" x14ac:dyDescent="0.25">
      <c r="B132" s="226"/>
    </row>
    <row r="133" spans="2:2" s="205" customFormat="1" x14ac:dyDescent="0.25">
      <c r="B133" s="226"/>
    </row>
    <row r="134" spans="2:2" s="205" customFormat="1" x14ac:dyDescent="0.25">
      <c r="B134" s="226"/>
    </row>
    <row r="135" spans="2:2" s="205" customFormat="1" x14ac:dyDescent="0.25">
      <c r="B135" s="226"/>
    </row>
    <row r="136" spans="2:2" s="205" customFormat="1" x14ac:dyDescent="0.25">
      <c r="B136" s="226"/>
    </row>
    <row r="137" spans="2:2" s="205" customFormat="1" x14ac:dyDescent="0.25">
      <c r="B137" s="226"/>
    </row>
    <row r="138" spans="2:2" s="205" customFormat="1" x14ac:dyDescent="0.25">
      <c r="B138" s="226"/>
    </row>
    <row r="139" spans="2:2" s="205" customFormat="1" x14ac:dyDescent="0.25">
      <c r="B139" s="226"/>
    </row>
    <row r="140" spans="2:2" s="205" customFormat="1" x14ac:dyDescent="0.25">
      <c r="B140" s="226"/>
    </row>
    <row r="141" spans="2:2" s="205" customFormat="1" x14ac:dyDescent="0.25">
      <c r="B141" s="226"/>
    </row>
    <row r="142" spans="2:2" s="205" customFormat="1" x14ac:dyDescent="0.25">
      <c r="B142" s="226"/>
    </row>
    <row r="143" spans="2:2" s="205" customFormat="1" x14ac:dyDescent="0.25">
      <c r="B143" s="226"/>
    </row>
    <row r="144" spans="2:2" s="205" customFormat="1" x14ac:dyDescent="0.25">
      <c r="B144" s="226"/>
    </row>
    <row r="145" spans="2:2" s="205" customFormat="1" x14ac:dyDescent="0.25">
      <c r="B145" s="226"/>
    </row>
    <row r="146" spans="2:2" s="205" customFormat="1" x14ac:dyDescent="0.25">
      <c r="B146" s="226"/>
    </row>
    <row r="147" spans="2:2" s="205" customFormat="1" x14ac:dyDescent="0.25">
      <c r="B147" s="226"/>
    </row>
    <row r="148" spans="2:2" s="205" customFormat="1" x14ac:dyDescent="0.25">
      <c r="B148" s="226"/>
    </row>
    <row r="149" spans="2:2" s="205" customFormat="1" x14ac:dyDescent="0.25">
      <c r="B149" s="226"/>
    </row>
    <row r="150" spans="2:2" s="205" customFormat="1" x14ac:dyDescent="0.25">
      <c r="B150" s="226"/>
    </row>
    <row r="151" spans="2:2" s="205" customFormat="1" x14ac:dyDescent="0.25">
      <c r="B151" s="226"/>
    </row>
    <row r="152" spans="2:2" s="205" customFormat="1" x14ac:dyDescent="0.25">
      <c r="B152" s="226"/>
    </row>
    <row r="153" spans="2:2" s="205" customFormat="1" x14ac:dyDescent="0.25">
      <c r="B153" s="226"/>
    </row>
    <row r="154" spans="2:2" s="205" customFormat="1" x14ac:dyDescent="0.25">
      <c r="B154" s="226"/>
    </row>
    <row r="155" spans="2:2" s="205" customFormat="1" x14ac:dyDescent="0.25">
      <c r="B155" s="226"/>
    </row>
    <row r="156" spans="2:2" s="205" customFormat="1" x14ac:dyDescent="0.25">
      <c r="B156" s="226"/>
    </row>
    <row r="157" spans="2:2" s="205" customFormat="1" x14ac:dyDescent="0.25">
      <c r="B157" s="226"/>
    </row>
    <row r="158" spans="2:2" s="205" customFormat="1" x14ac:dyDescent="0.25">
      <c r="B158" s="226"/>
    </row>
    <row r="159" spans="2:2" s="205" customFormat="1" x14ac:dyDescent="0.25">
      <c r="B159" s="226"/>
    </row>
    <row r="160" spans="2:2" s="205" customFormat="1" x14ac:dyDescent="0.25">
      <c r="B160" s="226"/>
    </row>
    <row r="161" spans="2:2" s="205" customFormat="1" x14ac:dyDescent="0.25">
      <c r="B161" s="226"/>
    </row>
    <row r="162" spans="2:2" s="205" customFormat="1" x14ac:dyDescent="0.25">
      <c r="B162" s="226"/>
    </row>
    <row r="163" spans="2:2" s="205" customFormat="1" x14ac:dyDescent="0.25">
      <c r="B163" s="226"/>
    </row>
    <row r="164" spans="2:2" s="205" customFormat="1" x14ac:dyDescent="0.25">
      <c r="B164" s="226"/>
    </row>
    <row r="165" spans="2:2" s="205" customFormat="1" x14ac:dyDescent="0.25">
      <c r="B165" s="226"/>
    </row>
    <row r="166" spans="2:2" s="205" customFormat="1" x14ac:dyDescent="0.25">
      <c r="B166" s="226"/>
    </row>
    <row r="167" spans="2:2" s="205" customFormat="1" x14ac:dyDescent="0.25">
      <c r="B167" s="226"/>
    </row>
    <row r="168" spans="2:2" s="205" customFormat="1" x14ac:dyDescent="0.25">
      <c r="B168" s="226"/>
    </row>
    <row r="169" spans="2:2" s="205" customFormat="1" x14ac:dyDescent="0.25">
      <c r="B169" s="226"/>
    </row>
    <row r="170" spans="2:2" s="205" customFormat="1" x14ac:dyDescent="0.25">
      <c r="B170" s="226"/>
    </row>
    <row r="171" spans="2:2" s="205" customFormat="1" x14ac:dyDescent="0.25">
      <c r="B171" s="226"/>
    </row>
    <row r="172" spans="2:2" s="205" customFormat="1" x14ac:dyDescent="0.25">
      <c r="B172" s="226"/>
    </row>
    <row r="173" spans="2:2" s="205" customFormat="1" x14ac:dyDescent="0.25">
      <c r="B173" s="226"/>
    </row>
    <row r="174" spans="2:2" s="205" customFormat="1" x14ac:dyDescent="0.25">
      <c r="B174" s="226"/>
    </row>
    <row r="175" spans="2:2" s="205" customFormat="1" x14ac:dyDescent="0.25">
      <c r="B175" s="226"/>
    </row>
    <row r="176" spans="2:2" s="205" customFormat="1" x14ac:dyDescent="0.25">
      <c r="B176" s="226"/>
    </row>
    <row r="177" spans="2:2" s="205" customFormat="1" x14ac:dyDescent="0.25">
      <c r="B177" s="226"/>
    </row>
    <row r="178" spans="2:2" s="205" customFormat="1" x14ac:dyDescent="0.25">
      <c r="B178" s="226"/>
    </row>
    <row r="179" spans="2:2" s="205" customFormat="1" x14ac:dyDescent="0.25">
      <c r="B179" s="226"/>
    </row>
    <row r="180" spans="2:2" s="205" customFormat="1" x14ac:dyDescent="0.25">
      <c r="B180" s="226"/>
    </row>
    <row r="181" spans="2:2" s="205" customFormat="1" x14ac:dyDescent="0.25">
      <c r="B181" s="226"/>
    </row>
    <row r="182" spans="2:2" s="205" customFormat="1" x14ac:dyDescent="0.25">
      <c r="B182" s="226"/>
    </row>
    <row r="183" spans="2:2" s="205" customFormat="1" x14ac:dyDescent="0.25">
      <c r="B183" s="226"/>
    </row>
    <row r="184" spans="2:2" s="205" customFormat="1" x14ac:dyDescent="0.25">
      <c r="B184" s="226"/>
    </row>
    <row r="185" spans="2:2" s="205" customFormat="1" x14ac:dyDescent="0.25">
      <c r="B185" s="226"/>
    </row>
    <row r="186" spans="2:2" s="205" customFormat="1" x14ac:dyDescent="0.25">
      <c r="B186" s="226"/>
    </row>
    <row r="187" spans="2:2" s="205" customFormat="1" x14ac:dyDescent="0.25">
      <c r="B187" s="226"/>
    </row>
    <row r="188" spans="2:2" s="205" customFormat="1" x14ac:dyDescent="0.25">
      <c r="B188" s="226"/>
    </row>
    <row r="189" spans="2:2" s="205" customFormat="1" x14ac:dyDescent="0.25">
      <c r="B189" s="226"/>
    </row>
    <row r="190" spans="2:2" s="205" customFormat="1" x14ac:dyDescent="0.25">
      <c r="B190" s="226"/>
    </row>
    <row r="191" spans="2:2" s="205" customFormat="1" x14ac:dyDescent="0.25">
      <c r="B191" s="226"/>
    </row>
  </sheetData>
  <autoFilter ref="BI4:BR62" xr:uid="{00000000-0009-0000-0000-000003000000}"/>
  <dataConsolidate/>
  <mergeCells count="10">
    <mergeCell ref="BF3:BF4"/>
    <mergeCell ref="E3:E4"/>
    <mergeCell ref="AH3:AJ3"/>
    <mergeCell ref="K3:AG3"/>
    <mergeCell ref="G3:J3"/>
    <mergeCell ref="A3:A4"/>
    <mergeCell ref="B3:B4"/>
    <mergeCell ref="C3:C4"/>
    <mergeCell ref="F3:F4"/>
    <mergeCell ref="D3:D4"/>
  </mergeCells>
  <phoneticPr fontId="4" type="noConversion"/>
  <conditionalFormatting sqref="B10">
    <cfRule type="expression" dxfId="21" priority="5" stopIfTrue="1">
      <formula>$FJ10&gt;0</formula>
    </cfRule>
    <cfRule type="expression" dxfId="20" priority="6" stopIfTrue="1">
      <formula>$FK10&gt;0</formula>
    </cfRule>
  </conditionalFormatting>
  <pageMargins left="0.27559055118110237" right="0.19685039370078741" top="0.27559055118110237" bottom="0.35433070866141736" header="0.31496062992125984" footer="0.35433070866141736"/>
  <pageSetup paperSize="9" scale="90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BK106"/>
  <sheetViews>
    <sheetView workbookViewId="0">
      <pane xSplit="6" ySplit="5" topLeftCell="G6" activePane="bottomRight" state="frozen"/>
      <selection activeCell="BI4" sqref="BI4"/>
      <selection pane="topRight" activeCell="BI4" sqref="BI4"/>
      <selection pane="bottomLeft" activeCell="BI4" sqref="BI4"/>
      <selection pane="bottomRight" activeCell="AL6" sqref="AL6:AL18"/>
    </sheetView>
  </sheetViews>
  <sheetFormatPr defaultRowHeight="13.2" x14ac:dyDescent="0.25"/>
  <cols>
    <col min="1" max="1" width="3.44140625" customWidth="1"/>
    <col min="2" max="2" width="40" bestFit="1" customWidth="1"/>
    <col min="3" max="3" width="6.88671875" bestFit="1" customWidth="1"/>
    <col min="4" max="4" width="3.33203125" customWidth="1"/>
    <col min="5" max="5" width="2.33203125" customWidth="1"/>
    <col min="6" max="6" width="2.6640625" customWidth="1"/>
    <col min="7" max="7" width="3.5546875" customWidth="1"/>
    <col min="8" max="8" width="2.88671875" customWidth="1"/>
    <col min="9" max="9" width="2.33203125" customWidth="1"/>
    <col min="10" max="10" width="2.109375" customWidth="1"/>
    <col min="11" max="11" width="3" bestFit="1" customWidth="1"/>
    <col min="12" max="12" width="2.5546875" customWidth="1"/>
    <col min="13" max="13" width="3" bestFit="1" customWidth="1"/>
    <col min="14" max="14" width="2.33203125" customWidth="1"/>
    <col min="15" max="15" width="2.5546875" customWidth="1"/>
    <col min="16" max="16" width="2.33203125" customWidth="1"/>
    <col min="17" max="17" width="2.5546875" customWidth="1"/>
    <col min="18" max="18" width="2.33203125" customWidth="1"/>
    <col min="19" max="22" width="2.5546875" customWidth="1"/>
    <col min="23" max="23" width="2.33203125" customWidth="1"/>
    <col min="24" max="33" width="2.5546875" customWidth="1"/>
    <col min="34" max="34" width="3.88671875" customWidth="1"/>
    <col min="35" max="35" width="3.5546875" customWidth="1"/>
    <col min="36" max="36" width="3.109375" customWidth="1"/>
    <col min="37" max="37" width="4.33203125" customWidth="1"/>
    <col min="38" max="38" width="3.5546875" customWidth="1"/>
    <col min="39" max="39" width="3.88671875" customWidth="1"/>
    <col min="40" max="40" width="4.44140625" bestFit="1" customWidth="1"/>
    <col min="41" max="41" width="4" customWidth="1"/>
    <col min="42" max="42" width="3.44140625" customWidth="1"/>
    <col min="43" max="43" width="3.6640625" customWidth="1"/>
    <col min="44" max="44" width="2.88671875" customWidth="1"/>
    <col min="45" max="46" width="3.6640625" customWidth="1"/>
    <col min="47" max="47" width="3.44140625" customWidth="1"/>
    <col min="48" max="48" width="4" customWidth="1"/>
    <col min="49" max="49" width="4.44140625" customWidth="1"/>
    <col min="50" max="57" width="4" customWidth="1"/>
    <col min="58" max="58" width="6.6640625" customWidth="1"/>
    <col min="59" max="59" width="4.6640625" customWidth="1"/>
    <col min="60" max="60" width="5.109375" customWidth="1"/>
    <col min="61" max="61" width="4.6640625" customWidth="1"/>
    <col min="62" max="62" width="7.44140625" customWidth="1"/>
    <col min="63" max="63" width="7.5546875" customWidth="1"/>
  </cols>
  <sheetData>
    <row r="1" spans="1:63" s="25" customFormat="1" x14ac:dyDescent="0.25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3" ht="15" customHeight="1" thickBot="1" x14ac:dyDescent="0.4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G2" s="9" t="s">
        <v>64</v>
      </c>
      <c r="BH2" s="9" t="s">
        <v>65</v>
      </c>
      <c r="BI2" s="100" t="s">
        <v>238</v>
      </c>
    </row>
    <row r="3" spans="1:63" ht="51" customHeight="1" thickBot="1" x14ac:dyDescent="0.3">
      <c r="A3" s="318" t="s">
        <v>1</v>
      </c>
      <c r="B3" s="320" t="s">
        <v>2</v>
      </c>
      <c r="C3" s="322" t="s">
        <v>3</v>
      </c>
      <c r="D3" s="304" t="s">
        <v>77</v>
      </c>
      <c r="E3" s="304" t="s">
        <v>40</v>
      </c>
      <c r="F3" s="324" t="s">
        <v>4</v>
      </c>
      <c r="G3" s="316" t="s">
        <v>5</v>
      </c>
      <c r="H3" s="316"/>
      <c r="I3" s="316"/>
      <c r="J3" s="317"/>
      <c r="K3" s="292" t="s">
        <v>46</v>
      </c>
      <c r="L3" s="293"/>
      <c r="M3" s="293"/>
      <c r="N3" s="315"/>
      <c r="O3" s="315"/>
      <c r="P3" s="315"/>
      <c r="Q3" s="315"/>
      <c r="R3" s="315"/>
      <c r="S3" s="315"/>
      <c r="T3" s="315"/>
      <c r="U3" s="315"/>
      <c r="V3" s="315"/>
      <c r="W3" s="315"/>
      <c r="X3" s="315"/>
      <c r="Y3" s="315"/>
      <c r="Z3" s="315"/>
      <c r="AA3" s="315"/>
      <c r="AB3" s="315"/>
      <c r="AC3" s="315"/>
      <c r="AD3" s="315"/>
      <c r="AE3" s="315"/>
      <c r="AF3" s="315"/>
      <c r="AG3" s="315"/>
      <c r="AH3" s="314" t="s">
        <v>56</v>
      </c>
      <c r="AI3" s="314"/>
      <c r="AJ3" s="314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39" t="s">
        <v>62</v>
      </c>
      <c r="BF3" s="311" t="s">
        <v>10</v>
      </c>
      <c r="BG3" s="3">
        <v>1</v>
      </c>
      <c r="BH3" s="3">
        <v>0.5</v>
      </c>
      <c r="BI3" s="3">
        <v>1</v>
      </c>
      <c r="BJ3" s="8"/>
    </row>
    <row r="4" spans="1:63" ht="92.4" x14ac:dyDescent="0.25">
      <c r="A4" s="319"/>
      <c r="B4" s="321"/>
      <c r="C4" s="323"/>
      <c r="D4" s="305"/>
      <c r="E4" s="313"/>
      <c r="F4" s="325"/>
      <c r="G4" s="14" t="s">
        <v>11</v>
      </c>
      <c r="H4" s="14" t="s">
        <v>12</v>
      </c>
      <c r="I4" s="14" t="s">
        <v>13</v>
      </c>
      <c r="J4" s="16" t="s">
        <v>14</v>
      </c>
      <c r="K4" s="111" t="s">
        <v>43</v>
      </c>
      <c r="L4" s="110" t="s">
        <v>44</v>
      </c>
      <c r="M4" s="118" t="s">
        <v>45</v>
      </c>
      <c r="N4" s="7" t="s">
        <v>47</v>
      </c>
      <c r="O4" s="7" t="s">
        <v>48</v>
      </c>
      <c r="P4" s="7" t="s">
        <v>49</v>
      </c>
      <c r="Q4" s="7" t="s">
        <v>7</v>
      </c>
      <c r="R4" s="7" t="s">
        <v>22</v>
      </c>
      <c r="S4" s="7" t="s">
        <v>50</v>
      </c>
      <c r="T4" s="7" t="s">
        <v>51</v>
      </c>
      <c r="U4" s="7" t="s">
        <v>52</v>
      </c>
      <c r="V4" s="7" t="s">
        <v>53</v>
      </c>
      <c r="W4" s="7" t="s">
        <v>29</v>
      </c>
      <c r="X4" s="7" t="s">
        <v>9</v>
      </c>
      <c r="Y4" s="7" t="s">
        <v>54</v>
      </c>
      <c r="Z4" s="7" t="s">
        <v>55</v>
      </c>
      <c r="AA4" s="7" t="s">
        <v>34</v>
      </c>
      <c r="AB4" s="7" t="s">
        <v>35</v>
      </c>
      <c r="AC4" s="7" t="s">
        <v>36</v>
      </c>
      <c r="AD4" s="7" t="s">
        <v>37</v>
      </c>
      <c r="AE4" s="7" t="s">
        <v>59</v>
      </c>
      <c r="AF4" s="7" t="s">
        <v>60</v>
      </c>
      <c r="AG4" s="15" t="s">
        <v>62</v>
      </c>
      <c r="AH4" s="14" t="s">
        <v>43</v>
      </c>
      <c r="AI4" s="14" t="s">
        <v>44</v>
      </c>
      <c r="AJ4" s="14" t="s">
        <v>45</v>
      </c>
      <c r="AK4" s="14" t="s">
        <v>42</v>
      </c>
      <c r="AL4" s="14" t="s">
        <v>15</v>
      </c>
      <c r="AM4" s="14" t="s">
        <v>16</v>
      </c>
      <c r="AN4" s="14" t="s">
        <v>15</v>
      </c>
      <c r="AO4" s="14" t="s">
        <v>17</v>
      </c>
      <c r="AP4" s="14" t="s">
        <v>18</v>
      </c>
      <c r="AQ4" s="14" t="s">
        <v>23</v>
      </c>
      <c r="AR4" s="14" t="s">
        <v>19</v>
      </c>
      <c r="AS4" s="14" t="s">
        <v>25</v>
      </c>
      <c r="AT4" s="14" t="s">
        <v>92</v>
      </c>
      <c r="AU4" s="14" t="s">
        <v>31</v>
      </c>
      <c r="AV4" s="14" t="s">
        <v>32</v>
      </c>
      <c r="AW4" s="14" t="s">
        <v>91</v>
      </c>
      <c r="AX4" s="14" t="s">
        <v>96</v>
      </c>
      <c r="AY4" s="14" t="s">
        <v>20</v>
      </c>
      <c r="AZ4" s="14" t="s">
        <v>26</v>
      </c>
      <c r="BA4" s="14" t="s">
        <v>20</v>
      </c>
      <c r="BB4" s="14" t="s">
        <v>38</v>
      </c>
      <c r="BC4" s="14" t="s">
        <v>58</v>
      </c>
      <c r="BD4" s="14" t="s">
        <v>61</v>
      </c>
      <c r="BE4" s="14" t="s">
        <v>63</v>
      </c>
      <c r="BF4" s="312"/>
      <c r="BG4" s="13" t="s">
        <v>76</v>
      </c>
      <c r="BH4" s="14" t="s">
        <v>104</v>
      </c>
      <c r="BI4" s="14" t="s">
        <v>223</v>
      </c>
      <c r="BJ4" s="16" t="s">
        <v>21</v>
      </c>
      <c r="BK4" s="17" t="s">
        <v>72</v>
      </c>
    </row>
    <row r="5" spans="1:63" s="65" customFormat="1" x14ac:dyDescent="0.25">
      <c r="A5" s="231"/>
      <c r="B5" s="232" t="s">
        <v>78</v>
      </c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0"/>
      <c r="T5" s="200"/>
      <c r="U5" s="200"/>
      <c r="V5" s="200"/>
      <c r="W5" s="200"/>
      <c r="X5" s="200"/>
      <c r="Y5" s="200"/>
      <c r="Z5" s="200"/>
      <c r="AA5" s="200"/>
      <c r="AB5" s="200"/>
      <c r="AC5" s="200"/>
      <c r="AD5" s="200"/>
      <c r="AE5" s="200"/>
      <c r="AF5" s="200"/>
      <c r="AG5" s="200"/>
      <c r="AH5" s="200"/>
      <c r="AI5" s="200"/>
      <c r="AJ5" s="200"/>
      <c r="AK5" s="200"/>
      <c r="AL5" s="200"/>
      <c r="AM5" s="200"/>
      <c r="AN5" s="200"/>
      <c r="AO5" s="200"/>
      <c r="AP5" s="200"/>
      <c r="AQ5" s="200"/>
      <c r="AR5" s="200"/>
      <c r="AS5" s="200"/>
      <c r="AT5" s="200"/>
      <c r="AU5" s="200"/>
      <c r="AV5" s="200"/>
      <c r="AW5" s="200"/>
      <c r="AX5" s="200"/>
      <c r="AY5" s="200"/>
      <c r="AZ5" s="200"/>
      <c r="BA5" s="200"/>
      <c r="BB5" s="200"/>
      <c r="BC5" s="200"/>
      <c r="BD5" s="200"/>
      <c r="BE5" s="200"/>
      <c r="BF5" s="233">
        <f>SUM(BF6:BF15)</f>
        <v>0</v>
      </c>
      <c r="BG5" s="234">
        <f>SUM(BG6:BG15)</f>
        <v>0</v>
      </c>
      <c r="BH5" s="234">
        <f>SUM(BH6:BH15)</f>
        <v>0</v>
      </c>
      <c r="BI5" s="234">
        <f>SUM(BI6:BI15)</f>
        <v>0</v>
      </c>
      <c r="BJ5" s="234">
        <f>SUM(BJ6:BJ15)</f>
        <v>0</v>
      </c>
      <c r="BK5" s="200"/>
    </row>
    <row r="6" spans="1:63" s="207" customFormat="1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211"/>
      <c r="AH6" s="88" t="str">
        <f>IF(K6&lt;&gt;"",H6*K6,"")</f>
        <v/>
      </c>
      <c r="AI6" s="88" t="str">
        <f>IF(L6&lt;&gt;"",H6*L6,"")</f>
        <v/>
      </c>
      <c r="AJ6" s="88" t="str">
        <f t="shared" ref="AJ6" si="0">IF(M6&lt;&gt;"",M6*H6,"")</f>
        <v/>
      </c>
      <c r="AK6" s="88" t="str">
        <f xml:space="preserve"> IF(N6&lt;&gt;"", 0.05*K6+2,"")</f>
        <v/>
      </c>
      <c r="AL6" s="88">
        <f>IF(F6="з",0.15,0.05)*IF(AI6&lt;&gt;"",AI6,0)+2*IF(O6=1,1,0)</f>
        <v>0</v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260"/>
      <c r="BH6" s="260"/>
      <c r="BI6" s="260"/>
      <c r="BJ6" s="206"/>
    </row>
    <row r="7" spans="1:63" s="207" customFormat="1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70" si="1">IF(K7&lt;&gt;"",H7*K7,"")</f>
        <v/>
      </c>
      <c r="AI7" s="88" t="str">
        <f t="shared" ref="AI7:AI70" si="2">IF(L7&lt;&gt;"",H7*L7,"")</f>
        <v/>
      </c>
      <c r="AJ7" s="88" t="str">
        <f t="shared" ref="AJ7:AJ70" si="3">IF(M7&lt;&gt;"",M7*H7,"")</f>
        <v/>
      </c>
      <c r="AK7" s="88" t="str">
        <f t="shared" ref="AK7:AK15" si="4" xml:space="preserve"> IF(N7&lt;&gt;"", 0.05*K7+2,"")</f>
        <v/>
      </c>
      <c r="AL7" s="88">
        <f t="shared" ref="AL7:AL18" si="5">IF(F7="з",0.15,0.05)*IF(AI7&lt;&gt;"",AI7,0)+2*IF(O7=1,1,0)</f>
        <v>0</v>
      </c>
      <c r="AM7" s="88" t="str">
        <f t="shared" ref="AM7:AM15" si="6">IF(O7="+",0.25*G7,IF(O7="+Д",G7*0.33,""))</f>
        <v/>
      </c>
      <c r="AN7" s="88"/>
      <c r="AO7" s="88" t="str">
        <f t="shared" ref="AO7:AO15" si="7">IF(Q7&lt;&gt;"",2*G7,"")</f>
        <v/>
      </c>
      <c r="AP7" s="88" t="str">
        <f t="shared" ref="AP7:AP15" si="8">IF(R7&lt;&gt;"",3*H7,"")</f>
        <v/>
      </c>
      <c r="AQ7" s="88"/>
      <c r="AR7" s="88"/>
      <c r="AS7" s="88"/>
      <c r="AT7" s="88" t="str">
        <f t="shared" ref="AT7:AT15" si="9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260"/>
      <c r="BH7" s="260"/>
      <c r="BI7" s="260"/>
      <c r="BJ7" s="206"/>
    </row>
    <row r="8" spans="1:63" s="207" customFormat="1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1"/>
        <v/>
      </c>
      <c r="AI8" s="88" t="str">
        <f t="shared" si="2"/>
        <v/>
      </c>
      <c r="AJ8" s="88" t="str">
        <f t="shared" si="3"/>
        <v/>
      </c>
      <c r="AK8" s="88" t="str">
        <f t="shared" si="4"/>
        <v/>
      </c>
      <c r="AL8" s="88">
        <f t="shared" si="5"/>
        <v>0</v>
      </c>
      <c r="AM8" s="88" t="str">
        <f t="shared" si="6"/>
        <v/>
      </c>
      <c r="AN8" s="88"/>
      <c r="AO8" s="88" t="str">
        <f t="shared" si="7"/>
        <v/>
      </c>
      <c r="AP8" s="88" t="str">
        <f t="shared" si="8"/>
        <v/>
      </c>
      <c r="AQ8" s="88"/>
      <c r="AR8" s="88"/>
      <c r="AS8" s="88"/>
      <c r="AT8" s="88" t="str">
        <f t="shared" si="9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260"/>
      <c r="BH8" s="260"/>
      <c r="BI8" s="260"/>
      <c r="BJ8" s="206"/>
      <c r="BK8" s="129"/>
    </row>
    <row r="9" spans="1:63" s="207" customFormat="1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211"/>
      <c r="AH9" s="88" t="str">
        <f t="shared" si="1"/>
        <v/>
      </c>
      <c r="AI9" s="88" t="str">
        <f t="shared" si="2"/>
        <v/>
      </c>
      <c r="AJ9" s="88" t="str">
        <f t="shared" si="3"/>
        <v/>
      </c>
      <c r="AK9" s="88" t="str">
        <f t="shared" si="4"/>
        <v/>
      </c>
      <c r="AL9" s="88">
        <f t="shared" si="5"/>
        <v>0</v>
      </c>
      <c r="AM9" s="88" t="str">
        <f t="shared" si="6"/>
        <v/>
      </c>
      <c r="AN9" s="88"/>
      <c r="AO9" s="88" t="str">
        <f t="shared" si="7"/>
        <v/>
      </c>
      <c r="AP9" s="88" t="str">
        <f t="shared" si="8"/>
        <v/>
      </c>
      <c r="AQ9" s="88"/>
      <c r="AR9" s="88"/>
      <c r="AS9" s="88"/>
      <c r="AT9" s="88" t="str">
        <f t="shared" si="9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260"/>
      <c r="BH9" s="260"/>
      <c r="BI9" s="260"/>
      <c r="BJ9" s="206"/>
    </row>
    <row r="10" spans="1:63" s="207" customFormat="1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211"/>
      <c r="AH10" s="88" t="str">
        <f t="shared" si="1"/>
        <v/>
      </c>
      <c r="AI10" s="88" t="str">
        <f t="shared" si="2"/>
        <v/>
      </c>
      <c r="AJ10" s="88" t="str">
        <f t="shared" si="3"/>
        <v/>
      </c>
      <c r="AK10" s="88" t="str">
        <f t="shared" si="4"/>
        <v/>
      </c>
      <c r="AL10" s="88">
        <f t="shared" si="5"/>
        <v>0</v>
      </c>
      <c r="AM10" s="88" t="str">
        <f t="shared" si="6"/>
        <v/>
      </c>
      <c r="AN10" s="88"/>
      <c r="AO10" s="88" t="str">
        <f t="shared" si="7"/>
        <v/>
      </c>
      <c r="AP10" s="88" t="str">
        <f t="shared" si="8"/>
        <v/>
      </c>
      <c r="AQ10" s="88"/>
      <c r="AR10" s="88"/>
      <c r="AS10" s="88"/>
      <c r="AT10" s="88" t="str">
        <f t="shared" si="9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/>
      <c r="BG10" s="260"/>
      <c r="BH10" s="260"/>
      <c r="BI10" s="260"/>
      <c r="BJ10" s="206"/>
    </row>
    <row r="11" spans="1:63" s="207" customFormat="1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211"/>
      <c r="AH11" s="88" t="str">
        <f t="shared" si="1"/>
        <v/>
      </c>
      <c r="AI11" s="88" t="str">
        <f t="shared" si="2"/>
        <v/>
      </c>
      <c r="AJ11" s="88" t="str">
        <f t="shared" si="3"/>
        <v/>
      </c>
      <c r="AK11" s="88" t="str">
        <f t="shared" si="4"/>
        <v/>
      </c>
      <c r="AL11" s="88">
        <f t="shared" si="5"/>
        <v>0</v>
      </c>
      <c r="AM11" s="88" t="str">
        <f t="shared" si="6"/>
        <v/>
      </c>
      <c r="AN11" s="88"/>
      <c r="AO11" s="88" t="str">
        <f t="shared" si="7"/>
        <v/>
      </c>
      <c r="AP11" s="88" t="str">
        <f t="shared" si="8"/>
        <v/>
      </c>
      <c r="AQ11" s="88"/>
      <c r="AR11" s="88"/>
      <c r="AS11" s="88"/>
      <c r="AT11" s="88" t="str">
        <f t="shared" si="9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260"/>
      <c r="BH11" s="260"/>
      <c r="BI11" s="260"/>
      <c r="BJ11" s="206"/>
    </row>
    <row r="12" spans="1:63" s="207" customFormat="1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88" t="str">
        <f t="shared" si="1"/>
        <v/>
      </c>
      <c r="AI12" s="88" t="str">
        <f t="shared" si="2"/>
        <v/>
      </c>
      <c r="AJ12" s="88" t="str">
        <f t="shared" si="3"/>
        <v/>
      </c>
      <c r="AK12" s="88" t="str">
        <f t="shared" si="4"/>
        <v/>
      </c>
      <c r="AL12" s="88">
        <f t="shared" si="5"/>
        <v>0</v>
      </c>
      <c r="AM12" s="88" t="str">
        <f t="shared" si="6"/>
        <v/>
      </c>
      <c r="AN12" s="88"/>
      <c r="AO12" s="88" t="str">
        <f t="shared" si="7"/>
        <v/>
      </c>
      <c r="AP12" s="88" t="str">
        <f t="shared" si="8"/>
        <v/>
      </c>
      <c r="AQ12" s="88"/>
      <c r="AR12" s="88"/>
      <c r="AS12" s="88"/>
      <c r="AT12" s="88" t="str">
        <f t="shared" si="9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260"/>
      <c r="BH12" s="260"/>
      <c r="BI12" s="260"/>
      <c r="BJ12" s="206"/>
    </row>
    <row r="13" spans="1:63" s="207" customFormat="1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88" t="str">
        <f t="shared" si="1"/>
        <v/>
      </c>
      <c r="AI13" s="88" t="str">
        <f t="shared" si="2"/>
        <v/>
      </c>
      <c r="AJ13" s="88" t="str">
        <f t="shared" si="3"/>
        <v/>
      </c>
      <c r="AK13" s="88" t="str">
        <f t="shared" si="4"/>
        <v/>
      </c>
      <c r="AL13" s="88">
        <f t="shared" si="5"/>
        <v>0</v>
      </c>
      <c r="AM13" s="88" t="str">
        <f t="shared" si="6"/>
        <v/>
      </c>
      <c r="AN13" s="88"/>
      <c r="AO13" s="88" t="str">
        <f t="shared" si="7"/>
        <v/>
      </c>
      <c r="AP13" s="88" t="str">
        <f t="shared" si="8"/>
        <v/>
      </c>
      <c r="AQ13" s="88"/>
      <c r="AR13" s="88"/>
      <c r="AS13" s="88"/>
      <c r="AT13" s="88" t="str">
        <f t="shared" si="9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/>
      <c r="BG13" s="260"/>
      <c r="BH13" s="260"/>
      <c r="BI13" s="260"/>
      <c r="BJ13" s="206"/>
    </row>
    <row r="14" spans="1:63" s="207" customFormat="1" x14ac:dyDescent="0.25">
      <c r="A14" s="43"/>
      <c r="B14" s="228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88" t="str">
        <f t="shared" si="1"/>
        <v/>
      </c>
      <c r="AI14" s="88" t="str">
        <f t="shared" si="2"/>
        <v/>
      </c>
      <c r="AJ14" s="88" t="str">
        <f t="shared" si="3"/>
        <v/>
      </c>
      <c r="AK14" s="88" t="str">
        <f t="shared" si="4"/>
        <v/>
      </c>
      <c r="AL14" s="88">
        <f t="shared" si="5"/>
        <v>0</v>
      </c>
      <c r="AM14" s="88" t="str">
        <f t="shared" si="6"/>
        <v/>
      </c>
      <c r="AN14" s="88"/>
      <c r="AO14" s="88" t="str">
        <f t="shared" si="7"/>
        <v/>
      </c>
      <c r="AP14" s="88" t="str">
        <f t="shared" si="8"/>
        <v/>
      </c>
      <c r="AQ14" s="88"/>
      <c r="AR14" s="88"/>
      <c r="AS14" s="88"/>
      <c r="AT14" s="88" t="str">
        <f t="shared" si="9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/>
      <c r="BG14" s="261"/>
      <c r="BH14" s="262"/>
      <c r="BI14" s="262"/>
      <c r="BJ14" s="206"/>
    </row>
    <row r="15" spans="1:63" s="207" customFormat="1" x14ac:dyDescent="0.25">
      <c r="A15" s="43"/>
      <c r="B15" s="228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88" t="str">
        <f t="shared" si="1"/>
        <v/>
      </c>
      <c r="AI15" s="88" t="str">
        <f t="shared" si="2"/>
        <v/>
      </c>
      <c r="AJ15" s="88" t="str">
        <f t="shared" si="3"/>
        <v/>
      </c>
      <c r="AK15" s="88" t="str">
        <f t="shared" si="4"/>
        <v/>
      </c>
      <c r="AL15" s="88">
        <f t="shared" si="5"/>
        <v>0</v>
      </c>
      <c r="AM15" s="88" t="str">
        <f t="shared" si="6"/>
        <v/>
      </c>
      <c r="AN15" s="88"/>
      <c r="AO15" s="88" t="str">
        <f t="shared" si="7"/>
        <v/>
      </c>
      <c r="AP15" s="88" t="str">
        <f t="shared" si="8"/>
        <v/>
      </c>
      <c r="AQ15" s="88"/>
      <c r="AR15" s="88"/>
      <c r="AS15" s="88"/>
      <c r="AT15" s="88" t="str">
        <f t="shared" si="9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206"/>
      <c r="BJ15" s="206"/>
    </row>
    <row r="16" spans="1:63" x14ac:dyDescent="0.25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19" t="str">
        <f t="shared" si="1"/>
        <v/>
      </c>
      <c r="AI16" s="19" t="str">
        <f t="shared" si="2"/>
        <v/>
      </c>
      <c r="AJ16" s="19" t="str">
        <f t="shared" si="3"/>
        <v/>
      </c>
      <c r="AK16" s="29"/>
      <c r="AL16" s="88">
        <f t="shared" si="5"/>
        <v>0</v>
      </c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</row>
    <row r="17" spans="1:58" x14ac:dyDescent="0.25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19" t="str">
        <f t="shared" si="1"/>
        <v/>
      </c>
      <c r="AI17" s="19" t="str">
        <f t="shared" si="2"/>
        <v/>
      </c>
      <c r="AJ17" s="19" t="str">
        <f t="shared" si="3"/>
        <v/>
      </c>
      <c r="AK17" s="29"/>
      <c r="AL17" s="88">
        <f t="shared" si="5"/>
        <v>0</v>
      </c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</row>
    <row r="18" spans="1:58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19" t="str">
        <f t="shared" si="1"/>
        <v/>
      </c>
      <c r="AI18" s="19" t="str">
        <f t="shared" si="2"/>
        <v/>
      </c>
      <c r="AJ18" s="19" t="str">
        <f t="shared" si="3"/>
        <v/>
      </c>
      <c r="AK18" s="29"/>
      <c r="AL18" s="88">
        <f t="shared" si="5"/>
        <v>0</v>
      </c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</row>
    <row r="19" spans="1:58" x14ac:dyDescent="0.25">
      <c r="AH19" s="138" t="str">
        <f t="shared" si="1"/>
        <v/>
      </c>
      <c r="AI19" s="138" t="str">
        <f t="shared" si="2"/>
        <v/>
      </c>
      <c r="AJ19" s="138" t="str">
        <f t="shared" si="3"/>
        <v/>
      </c>
      <c r="AK19" s="65"/>
    </row>
    <row r="20" spans="1:58" x14ac:dyDescent="0.25">
      <c r="AH20" s="138" t="str">
        <f t="shared" si="1"/>
        <v/>
      </c>
      <c r="AI20" s="138" t="str">
        <f t="shared" si="2"/>
        <v/>
      </c>
      <c r="AJ20" s="138" t="str">
        <f t="shared" si="3"/>
        <v/>
      </c>
      <c r="AK20" s="65"/>
    </row>
    <row r="21" spans="1:58" x14ac:dyDescent="0.25">
      <c r="AH21" s="138" t="str">
        <f t="shared" si="1"/>
        <v/>
      </c>
      <c r="AI21" s="138" t="str">
        <f t="shared" si="2"/>
        <v/>
      </c>
      <c r="AJ21" s="138" t="str">
        <f t="shared" si="3"/>
        <v/>
      </c>
      <c r="AK21" s="65"/>
    </row>
    <row r="22" spans="1:58" x14ac:dyDescent="0.25">
      <c r="AH22" s="138" t="str">
        <f t="shared" si="1"/>
        <v/>
      </c>
      <c r="AI22" s="138" t="str">
        <f t="shared" si="2"/>
        <v/>
      </c>
      <c r="AJ22" s="138" t="str">
        <f t="shared" si="3"/>
        <v/>
      </c>
      <c r="AK22" s="65"/>
    </row>
    <row r="23" spans="1:58" x14ac:dyDescent="0.25">
      <c r="AH23" s="138" t="str">
        <f t="shared" si="1"/>
        <v/>
      </c>
      <c r="AI23" s="138" t="str">
        <f t="shared" si="2"/>
        <v/>
      </c>
      <c r="AJ23" s="138" t="str">
        <f t="shared" si="3"/>
        <v/>
      </c>
      <c r="AK23" s="65"/>
    </row>
    <row r="24" spans="1:58" x14ac:dyDescent="0.25">
      <c r="AH24" s="138" t="str">
        <f t="shared" si="1"/>
        <v/>
      </c>
      <c r="AI24" s="138" t="str">
        <f t="shared" si="2"/>
        <v/>
      </c>
      <c r="AJ24" s="138" t="str">
        <f t="shared" si="3"/>
        <v/>
      </c>
      <c r="AK24" s="65"/>
    </row>
    <row r="25" spans="1:58" x14ac:dyDescent="0.25">
      <c r="AH25" s="138" t="str">
        <f t="shared" si="1"/>
        <v/>
      </c>
      <c r="AI25" s="138" t="str">
        <f t="shared" si="2"/>
        <v/>
      </c>
      <c r="AJ25" s="138" t="str">
        <f t="shared" si="3"/>
        <v/>
      </c>
      <c r="AK25" s="65"/>
    </row>
    <row r="26" spans="1:58" x14ac:dyDescent="0.25">
      <c r="AH26" s="138" t="str">
        <f t="shared" si="1"/>
        <v/>
      </c>
      <c r="AI26" s="138" t="str">
        <f t="shared" si="2"/>
        <v/>
      </c>
      <c r="AJ26" s="138" t="str">
        <f t="shared" si="3"/>
        <v/>
      </c>
      <c r="AK26" s="65"/>
    </row>
    <row r="27" spans="1:58" x14ac:dyDescent="0.25">
      <c r="AH27" s="138" t="str">
        <f t="shared" si="1"/>
        <v/>
      </c>
      <c r="AI27" s="138" t="str">
        <f t="shared" si="2"/>
        <v/>
      </c>
      <c r="AJ27" s="138" t="str">
        <f t="shared" si="3"/>
        <v/>
      </c>
      <c r="AK27" s="65"/>
    </row>
    <row r="28" spans="1:58" x14ac:dyDescent="0.25">
      <c r="AH28" s="138" t="str">
        <f t="shared" si="1"/>
        <v/>
      </c>
      <c r="AI28" s="138" t="str">
        <f t="shared" si="2"/>
        <v/>
      </c>
      <c r="AJ28" s="138" t="str">
        <f t="shared" si="3"/>
        <v/>
      </c>
      <c r="AK28" s="65"/>
    </row>
    <row r="29" spans="1:58" x14ac:dyDescent="0.25">
      <c r="AH29" s="138" t="str">
        <f t="shared" si="1"/>
        <v/>
      </c>
      <c r="AI29" s="138" t="str">
        <f t="shared" si="2"/>
        <v/>
      </c>
      <c r="AJ29" s="138" t="str">
        <f t="shared" si="3"/>
        <v/>
      </c>
      <c r="AK29" s="65"/>
    </row>
    <row r="30" spans="1:58" x14ac:dyDescent="0.25">
      <c r="AH30" s="138" t="str">
        <f t="shared" si="1"/>
        <v/>
      </c>
      <c r="AI30" s="138" t="str">
        <f t="shared" si="2"/>
        <v/>
      </c>
      <c r="AJ30" s="138" t="str">
        <f t="shared" si="3"/>
        <v/>
      </c>
      <c r="AK30" s="65"/>
    </row>
    <row r="31" spans="1:58" x14ac:dyDescent="0.25">
      <c r="AH31" s="138" t="str">
        <f t="shared" si="1"/>
        <v/>
      </c>
      <c r="AI31" s="138" t="str">
        <f t="shared" si="2"/>
        <v/>
      </c>
      <c r="AJ31" s="138" t="str">
        <f t="shared" si="3"/>
        <v/>
      </c>
      <c r="AK31" s="65"/>
    </row>
    <row r="32" spans="1:58" x14ac:dyDescent="0.25">
      <c r="AH32" s="138" t="str">
        <f t="shared" si="1"/>
        <v/>
      </c>
      <c r="AI32" s="138" t="str">
        <f t="shared" si="2"/>
        <v/>
      </c>
      <c r="AJ32" s="138" t="str">
        <f t="shared" si="3"/>
        <v/>
      </c>
      <c r="AK32" s="65"/>
    </row>
    <row r="33" spans="34:37" x14ac:dyDescent="0.25">
      <c r="AH33" s="138" t="str">
        <f t="shared" si="1"/>
        <v/>
      </c>
      <c r="AI33" s="138" t="str">
        <f t="shared" si="2"/>
        <v/>
      </c>
      <c r="AJ33" s="138" t="str">
        <f t="shared" si="3"/>
        <v/>
      </c>
      <c r="AK33" s="65"/>
    </row>
    <row r="34" spans="34:37" x14ac:dyDescent="0.25">
      <c r="AH34" s="138" t="str">
        <f t="shared" si="1"/>
        <v/>
      </c>
      <c r="AI34" s="138" t="str">
        <f t="shared" si="2"/>
        <v/>
      </c>
      <c r="AJ34" s="138" t="str">
        <f t="shared" si="3"/>
        <v/>
      </c>
      <c r="AK34" s="65"/>
    </row>
    <row r="35" spans="34:37" x14ac:dyDescent="0.25">
      <c r="AH35" s="138" t="str">
        <f t="shared" si="1"/>
        <v/>
      </c>
      <c r="AI35" s="138" t="str">
        <f t="shared" si="2"/>
        <v/>
      </c>
      <c r="AJ35" s="138" t="str">
        <f t="shared" si="3"/>
        <v/>
      </c>
      <c r="AK35" s="65"/>
    </row>
    <row r="36" spans="34:37" x14ac:dyDescent="0.25">
      <c r="AH36" s="138" t="str">
        <f t="shared" si="1"/>
        <v/>
      </c>
      <c r="AI36" s="138" t="str">
        <f t="shared" si="2"/>
        <v/>
      </c>
      <c r="AJ36" s="138" t="str">
        <f t="shared" si="3"/>
        <v/>
      </c>
      <c r="AK36" s="65"/>
    </row>
    <row r="37" spans="34:37" x14ac:dyDescent="0.25">
      <c r="AH37" s="138" t="str">
        <f t="shared" si="1"/>
        <v/>
      </c>
      <c r="AI37" s="138" t="str">
        <f t="shared" si="2"/>
        <v/>
      </c>
      <c r="AJ37" s="138" t="str">
        <f t="shared" si="3"/>
        <v/>
      </c>
      <c r="AK37" s="65"/>
    </row>
    <row r="38" spans="34:37" x14ac:dyDescent="0.25">
      <c r="AH38" s="138" t="str">
        <f t="shared" si="1"/>
        <v/>
      </c>
      <c r="AI38" s="138" t="str">
        <f t="shared" si="2"/>
        <v/>
      </c>
      <c r="AJ38" s="138" t="str">
        <f t="shared" si="3"/>
        <v/>
      </c>
      <c r="AK38" s="65"/>
    </row>
    <row r="39" spans="34:37" x14ac:dyDescent="0.25">
      <c r="AH39" s="138" t="str">
        <f t="shared" si="1"/>
        <v/>
      </c>
      <c r="AI39" s="138" t="str">
        <f t="shared" si="2"/>
        <v/>
      </c>
      <c r="AJ39" s="138" t="str">
        <f t="shared" si="3"/>
        <v/>
      </c>
      <c r="AK39" s="65"/>
    </row>
    <row r="40" spans="34:37" x14ac:dyDescent="0.25">
      <c r="AH40" s="138" t="str">
        <f t="shared" si="1"/>
        <v/>
      </c>
      <c r="AI40" s="138" t="str">
        <f t="shared" si="2"/>
        <v/>
      </c>
      <c r="AJ40" s="138" t="str">
        <f t="shared" si="3"/>
        <v/>
      </c>
      <c r="AK40" s="65"/>
    </row>
    <row r="41" spans="34:37" x14ac:dyDescent="0.25">
      <c r="AH41" s="138" t="str">
        <f t="shared" si="1"/>
        <v/>
      </c>
      <c r="AI41" s="138" t="str">
        <f t="shared" si="2"/>
        <v/>
      </c>
      <c r="AJ41" s="138" t="str">
        <f t="shared" si="3"/>
        <v/>
      </c>
      <c r="AK41" s="65"/>
    </row>
    <row r="42" spans="34:37" x14ac:dyDescent="0.25">
      <c r="AH42" s="138" t="str">
        <f t="shared" si="1"/>
        <v/>
      </c>
      <c r="AI42" s="138" t="str">
        <f t="shared" si="2"/>
        <v/>
      </c>
      <c r="AJ42" s="138" t="str">
        <f t="shared" si="3"/>
        <v/>
      </c>
      <c r="AK42" s="65"/>
    </row>
    <row r="43" spans="34:37" x14ac:dyDescent="0.25">
      <c r="AH43" s="138" t="str">
        <f t="shared" si="1"/>
        <v/>
      </c>
      <c r="AI43" s="138" t="str">
        <f t="shared" si="2"/>
        <v/>
      </c>
      <c r="AJ43" s="138" t="str">
        <f t="shared" si="3"/>
        <v/>
      </c>
      <c r="AK43" s="65"/>
    </row>
    <row r="44" spans="34:37" x14ac:dyDescent="0.25">
      <c r="AH44" s="138" t="str">
        <f t="shared" si="1"/>
        <v/>
      </c>
      <c r="AI44" s="138" t="str">
        <f t="shared" si="2"/>
        <v/>
      </c>
      <c r="AJ44" s="138" t="str">
        <f t="shared" si="3"/>
        <v/>
      </c>
      <c r="AK44" s="65"/>
    </row>
    <row r="45" spans="34:37" x14ac:dyDescent="0.25">
      <c r="AH45" s="138" t="str">
        <f t="shared" si="1"/>
        <v/>
      </c>
      <c r="AI45" s="138" t="str">
        <f t="shared" si="2"/>
        <v/>
      </c>
      <c r="AJ45" s="138" t="str">
        <f t="shared" si="3"/>
        <v/>
      </c>
      <c r="AK45" s="65"/>
    </row>
    <row r="46" spans="34:37" x14ac:dyDescent="0.25">
      <c r="AH46" s="138" t="str">
        <f t="shared" si="1"/>
        <v/>
      </c>
      <c r="AI46" s="138" t="str">
        <f t="shared" si="2"/>
        <v/>
      </c>
      <c r="AJ46" s="138" t="str">
        <f t="shared" si="3"/>
        <v/>
      </c>
      <c r="AK46" s="65"/>
    </row>
    <row r="47" spans="34:37" x14ac:dyDescent="0.25">
      <c r="AH47" s="138" t="str">
        <f t="shared" si="1"/>
        <v/>
      </c>
      <c r="AI47" s="138" t="str">
        <f t="shared" si="2"/>
        <v/>
      </c>
      <c r="AJ47" s="138" t="str">
        <f t="shared" si="3"/>
        <v/>
      </c>
      <c r="AK47" s="65"/>
    </row>
    <row r="48" spans="34:37" x14ac:dyDescent="0.25">
      <c r="AH48" s="138" t="str">
        <f t="shared" si="1"/>
        <v/>
      </c>
      <c r="AI48" s="138" t="str">
        <f t="shared" si="2"/>
        <v/>
      </c>
      <c r="AJ48" s="138" t="str">
        <f t="shared" si="3"/>
        <v/>
      </c>
      <c r="AK48" s="65"/>
    </row>
    <row r="49" spans="34:37" x14ac:dyDescent="0.25">
      <c r="AH49" s="138" t="str">
        <f t="shared" si="1"/>
        <v/>
      </c>
      <c r="AI49" s="138" t="str">
        <f t="shared" si="2"/>
        <v/>
      </c>
      <c r="AJ49" s="138" t="str">
        <f t="shared" si="3"/>
        <v/>
      </c>
      <c r="AK49" s="65"/>
    </row>
    <row r="50" spans="34:37" x14ac:dyDescent="0.25">
      <c r="AH50" s="138" t="str">
        <f t="shared" si="1"/>
        <v/>
      </c>
      <c r="AI50" s="138" t="str">
        <f t="shared" si="2"/>
        <v/>
      </c>
      <c r="AJ50" s="138" t="str">
        <f t="shared" si="3"/>
        <v/>
      </c>
      <c r="AK50" s="65"/>
    </row>
    <row r="51" spans="34:37" x14ac:dyDescent="0.25">
      <c r="AH51" s="138" t="str">
        <f t="shared" si="1"/>
        <v/>
      </c>
      <c r="AI51" s="138" t="str">
        <f t="shared" si="2"/>
        <v/>
      </c>
      <c r="AJ51" s="138" t="str">
        <f t="shared" si="3"/>
        <v/>
      </c>
      <c r="AK51" s="65"/>
    </row>
    <row r="52" spans="34:37" x14ac:dyDescent="0.25">
      <c r="AH52" s="138" t="str">
        <f t="shared" si="1"/>
        <v/>
      </c>
      <c r="AI52" s="138" t="str">
        <f t="shared" si="2"/>
        <v/>
      </c>
      <c r="AJ52" s="138" t="str">
        <f t="shared" si="3"/>
        <v/>
      </c>
      <c r="AK52" s="65"/>
    </row>
    <row r="53" spans="34:37" x14ac:dyDescent="0.25">
      <c r="AH53" s="138" t="str">
        <f t="shared" si="1"/>
        <v/>
      </c>
      <c r="AI53" s="138" t="str">
        <f t="shared" si="2"/>
        <v/>
      </c>
      <c r="AJ53" s="138" t="str">
        <f t="shared" si="3"/>
        <v/>
      </c>
      <c r="AK53" s="65"/>
    </row>
    <row r="54" spans="34:37" x14ac:dyDescent="0.25">
      <c r="AH54" s="138" t="str">
        <f t="shared" si="1"/>
        <v/>
      </c>
      <c r="AI54" s="138" t="str">
        <f t="shared" si="2"/>
        <v/>
      </c>
      <c r="AJ54" s="138" t="str">
        <f t="shared" si="3"/>
        <v/>
      </c>
      <c r="AK54" s="65"/>
    </row>
    <row r="55" spans="34:37" x14ac:dyDescent="0.25">
      <c r="AH55" s="138" t="str">
        <f t="shared" si="1"/>
        <v/>
      </c>
      <c r="AI55" s="138" t="str">
        <f t="shared" si="2"/>
        <v/>
      </c>
      <c r="AJ55" s="138" t="str">
        <f t="shared" si="3"/>
        <v/>
      </c>
      <c r="AK55" s="65"/>
    </row>
    <row r="56" spans="34:37" x14ac:dyDescent="0.25">
      <c r="AH56" s="138" t="str">
        <f t="shared" si="1"/>
        <v/>
      </c>
      <c r="AI56" s="138" t="str">
        <f t="shared" si="2"/>
        <v/>
      </c>
      <c r="AJ56" s="138" t="str">
        <f t="shared" si="3"/>
        <v/>
      </c>
      <c r="AK56" s="65"/>
    </row>
    <row r="57" spans="34:37" x14ac:dyDescent="0.25">
      <c r="AH57" s="138" t="str">
        <f t="shared" si="1"/>
        <v/>
      </c>
      <c r="AI57" s="138" t="str">
        <f t="shared" si="2"/>
        <v/>
      </c>
      <c r="AJ57" s="138" t="str">
        <f t="shared" si="3"/>
        <v/>
      </c>
      <c r="AK57" s="65"/>
    </row>
    <row r="58" spans="34:37" x14ac:dyDescent="0.25">
      <c r="AH58" s="138" t="str">
        <f t="shared" si="1"/>
        <v/>
      </c>
      <c r="AI58" s="138" t="str">
        <f t="shared" si="2"/>
        <v/>
      </c>
      <c r="AJ58" s="138" t="str">
        <f t="shared" si="3"/>
        <v/>
      </c>
      <c r="AK58" s="65"/>
    </row>
    <row r="59" spans="34:37" x14ac:dyDescent="0.25">
      <c r="AH59" s="138" t="str">
        <f t="shared" si="1"/>
        <v/>
      </c>
      <c r="AI59" s="138" t="str">
        <f t="shared" si="2"/>
        <v/>
      </c>
      <c r="AJ59" s="138" t="str">
        <f t="shared" si="3"/>
        <v/>
      </c>
      <c r="AK59" s="65"/>
    </row>
    <row r="60" spans="34:37" x14ac:dyDescent="0.25">
      <c r="AH60" s="138" t="str">
        <f t="shared" si="1"/>
        <v/>
      </c>
      <c r="AI60" s="138" t="str">
        <f t="shared" si="2"/>
        <v/>
      </c>
      <c r="AJ60" s="138" t="str">
        <f t="shared" si="3"/>
        <v/>
      </c>
      <c r="AK60" s="65"/>
    </row>
    <row r="61" spans="34:37" x14ac:dyDescent="0.25">
      <c r="AH61" s="138" t="str">
        <f t="shared" si="1"/>
        <v/>
      </c>
      <c r="AI61" s="138" t="str">
        <f t="shared" si="2"/>
        <v/>
      </c>
      <c r="AJ61" s="138" t="str">
        <f t="shared" si="3"/>
        <v/>
      </c>
      <c r="AK61" s="65"/>
    </row>
    <row r="62" spans="34:37" x14ac:dyDescent="0.25">
      <c r="AH62" s="138" t="str">
        <f t="shared" si="1"/>
        <v/>
      </c>
      <c r="AI62" s="138" t="str">
        <f t="shared" si="2"/>
        <v/>
      </c>
      <c r="AJ62" s="138" t="str">
        <f t="shared" si="3"/>
        <v/>
      </c>
      <c r="AK62" s="65"/>
    </row>
    <row r="63" spans="34:37" x14ac:dyDescent="0.25">
      <c r="AH63" s="138" t="str">
        <f t="shared" si="1"/>
        <v/>
      </c>
      <c r="AI63" s="138" t="str">
        <f t="shared" si="2"/>
        <v/>
      </c>
      <c r="AJ63" s="138" t="str">
        <f t="shared" si="3"/>
        <v/>
      </c>
      <c r="AK63" s="65"/>
    </row>
    <row r="64" spans="34:37" x14ac:dyDescent="0.25">
      <c r="AH64" s="138" t="str">
        <f t="shared" si="1"/>
        <v/>
      </c>
      <c r="AI64" s="138" t="str">
        <f t="shared" si="2"/>
        <v/>
      </c>
      <c r="AJ64" s="138" t="str">
        <f t="shared" si="3"/>
        <v/>
      </c>
      <c r="AK64" s="65"/>
    </row>
    <row r="65" spans="34:37" x14ac:dyDescent="0.25">
      <c r="AH65" s="138" t="str">
        <f t="shared" si="1"/>
        <v/>
      </c>
      <c r="AI65" s="138" t="str">
        <f t="shared" si="2"/>
        <v/>
      </c>
      <c r="AJ65" s="138" t="str">
        <f t="shared" si="3"/>
        <v/>
      </c>
      <c r="AK65" s="65"/>
    </row>
    <row r="66" spans="34:37" x14ac:dyDescent="0.25">
      <c r="AH66" s="138" t="str">
        <f t="shared" si="1"/>
        <v/>
      </c>
      <c r="AI66" s="138" t="str">
        <f t="shared" si="2"/>
        <v/>
      </c>
      <c r="AJ66" s="138" t="str">
        <f t="shared" si="3"/>
        <v/>
      </c>
      <c r="AK66" s="65"/>
    </row>
    <row r="67" spans="34:37" x14ac:dyDescent="0.25">
      <c r="AH67" s="138" t="str">
        <f t="shared" si="1"/>
        <v/>
      </c>
      <c r="AI67" s="138" t="str">
        <f t="shared" si="2"/>
        <v/>
      </c>
      <c r="AJ67" s="138" t="str">
        <f t="shared" si="3"/>
        <v/>
      </c>
      <c r="AK67" s="65"/>
    </row>
    <row r="68" spans="34:37" x14ac:dyDescent="0.25">
      <c r="AH68" s="138" t="str">
        <f t="shared" si="1"/>
        <v/>
      </c>
      <c r="AI68" s="138" t="str">
        <f t="shared" si="2"/>
        <v/>
      </c>
      <c r="AJ68" s="138" t="str">
        <f t="shared" si="3"/>
        <v/>
      </c>
      <c r="AK68" s="65"/>
    </row>
    <row r="69" spans="34:37" x14ac:dyDescent="0.25">
      <c r="AH69" s="138" t="str">
        <f t="shared" si="1"/>
        <v/>
      </c>
      <c r="AI69" s="138" t="str">
        <f t="shared" si="2"/>
        <v/>
      </c>
      <c r="AJ69" s="138" t="str">
        <f t="shared" si="3"/>
        <v/>
      </c>
      <c r="AK69" s="65"/>
    </row>
    <row r="70" spans="34:37" x14ac:dyDescent="0.25">
      <c r="AH70" s="138" t="str">
        <f t="shared" si="1"/>
        <v/>
      </c>
      <c r="AI70" s="138" t="str">
        <f t="shared" si="2"/>
        <v/>
      </c>
      <c r="AJ70" s="138" t="str">
        <f t="shared" si="3"/>
        <v/>
      </c>
      <c r="AK70" s="65"/>
    </row>
    <row r="71" spans="34:37" x14ac:dyDescent="0.25">
      <c r="AH71" s="138" t="str">
        <f t="shared" ref="AH71:AH106" si="10">IF(K71&lt;&gt;"",H71*K71,"")</f>
        <v/>
      </c>
      <c r="AI71" s="138" t="str">
        <f t="shared" ref="AI71:AI106" si="11">IF(L71&lt;&gt;"",H71*L71,"")</f>
        <v/>
      </c>
      <c r="AJ71" s="138" t="str">
        <f t="shared" ref="AJ71:AJ106" si="12">IF(M71&lt;&gt;"",M71*H71,"")</f>
        <v/>
      </c>
      <c r="AK71" s="65"/>
    </row>
    <row r="72" spans="34:37" x14ac:dyDescent="0.25">
      <c r="AH72" s="138" t="str">
        <f t="shared" si="10"/>
        <v/>
      </c>
      <c r="AI72" s="138" t="str">
        <f t="shared" si="11"/>
        <v/>
      </c>
      <c r="AJ72" s="138" t="str">
        <f t="shared" si="12"/>
        <v/>
      </c>
      <c r="AK72" s="65"/>
    </row>
    <row r="73" spans="34:37" x14ac:dyDescent="0.25">
      <c r="AH73" s="138" t="str">
        <f t="shared" si="10"/>
        <v/>
      </c>
      <c r="AI73" s="138" t="str">
        <f t="shared" si="11"/>
        <v/>
      </c>
      <c r="AJ73" s="138" t="str">
        <f t="shared" si="12"/>
        <v/>
      </c>
      <c r="AK73" s="65"/>
    </row>
    <row r="74" spans="34:37" x14ac:dyDescent="0.25">
      <c r="AH74" s="138" t="str">
        <f t="shared" si="10"/>
        <v/>
      </c>
      <c r="AI74" s="138" t="str">
        <f t="shared" si="11"/>
        <v/>
      </c>
      <c r="AJ74" s="138" t="str">
        <f t="shared" si="12"/>
        <v/>
      </c>
      <c r="AK74" s="65"/>
    </row>
    <row r="75" spans="34:37" x14ac:dyDescent="0.25">
      <c r="AH75" s="138" t="str">
        <f t="shared" si="10"/>
        <v/>
      </c>
      <c r="AI75" s="138" t="str">
        <f t="shared" si="11"/>
        <v/>
      </c>
      <c r="AJ75" s="138" t="str">
        <f t="shared" si="12"/>
        <v/>
      </c>
      <c r="AK75" s="65"/>
    </row>
    <row r="76" spans="34:37" x14ac:dyDescent="0.25">
      <c r="AH76" s="138" t="str">
        <f t="shared" si="10"/>
        <v/>
      </c>
      <c r="AI76" s="138" t="str">
        <f t="shared" si="11"/>
        <v/>
      </c>
      <c r="AJ76" s="138" t="str">
        <f t="shared" si="12"/>
        <v/>
      </c>
      <c r="AK76" s="65"/>
    </row>
    <row r="77" spans="34:37" x14ac:dyDescent="0.25">
      <c r="AH77" s="138" t="str">
        <f t="shared" si="10"/>
        <v/>
      </c>
      <c r="AI77" s="138" t="str">
        <f t="shared" si="11"/>
        <v/>
      </c>
      <c r="AJ77" s="138" t="str">
        <f t="shared" si="12"/>
        <v/>
      </c>
      <c r="AK77" s="65"/>
    </row>
    <row r="78" spans="34:37" x14ac:dyDescent="0.25">
      <c r="AH78" s="138" t="str">
        <f t="shared" si="10"/>
        <v/>
      </c>
      <c r="AI78" s="138" t="str">
        <f t="shared" si="11"/>
        <v/>
      </c>
      <c r="AJ78" s="138" t="str">
        <f t="shared" si="12"/>
        <v/>
      </c>
      <c r="AK78" s="65"/>
    </row>
    <row r="79" spans="34:37" x14ac:dyDescent="0.25">
      <c r="AH79" s="138" t="str">
        <f t="shared" si="10"/>
        <v/>
      </c>
      <c r="AI79" s="138" t="str">
        <f t="shared" si="11"/>
        <v/>
      </c>
      <c r="AJ79" s="138" t="str">
        <f t="shared" si="12"/>
        <v/>
      </c>
      <c r="AK79" s="65"/>
    </row>
    <row r="80" spans="34:37" x14ac:dyDescent="0.25">
      <c r="AH80" s="138" t="str">
        <f t="shared" si="10"/>
        <v/>
      </c>
      <c r="AI80" s="138" t="str">
        <f t="shared" si="11"/>
        <v/>
      </c>
      <c r="AJ80" s="138" t="str">
        <f t="shared" si="12"/>
        <v/>
      </c>
      <c r="AK80" s="65"/>
    </row>
    <row r="81" spans="34:37" x14ac:dyDescent="0.25">
      <c r="AH81" s="138" t="str">
        <f t="shared" si="10"/>
        <v/>
      </c>
      <c r="AI81" s="138" t="str">
        <f t="shared" si="11"/>
        <v/>
      </c>
      <c r="AJ81" s="138" t="str">
        <f t="shared" si="12"/>
        <v/>
      </c>
      <c r="AK81" s="65"/>
    </row>
    <row r="82" spans="34:37" x14ac:dyDescent="0.25">
      <c r="AH82" s="138" t="str">
        <f t="shared" si="10"/>
        <v/>
      </c>
      <c r="AI82" s="138" t="str">
        <f t="shared" si="11"/>
        <v/>
      </c>
      <c r="AJ82" s="138" t="str">
        <f t="shared" si="12"/>
        <v/>
      </c>
      <c r="AK82" s="65"/>
    </row>
    <row r="83" spans="34:37" x14ac:dyDescent="0.25">
      <c r="AH83" s="138" t="str">
        <f t="shared" si="10"/>
        <v/>
      </c>
      <c r="AI83" s="138" t="str">
        <f t="shared" si="11"/>
        <v/>
      </c>
      <c r="AJ83" s="138" t="str">
        <f t="shared" si="12"/>
        <v/>
      </c>
      <c r="AK83" s="65"/>
    </row>
    <row r="84" spans="34:37" x14ac:dyDescent="0.25">
      <c r="AH84" s="138" t="str">
        <f t="shared" si="10"/>
        <v/>
      </c>
      <c r="AI84" s="138" t="str">
        <f t="shared" si="11"/>
        <v/>
      </c>
      <c r="AJ84" s="138" t="str">
        <f t="shared" si="12"/>
        <v/>
      </c>
      <c r="AK84" s="65"/>
    </row>
    <row r="85" spans="34:37" x14ac:dyDescent="0.25">
      <c r="AH85" s="138" t="str">
        <f t="shared" si="10"/>
        <v/>
      </c>
      <c r="AI85" s="138" t="str">
        <f t="shared" si="11"/>
        <v/>
      </c>
      <c r="AJ85" s="138" t="str">
        <f t="shared" si="12"/>
        <v/>
      </c>
      <c r="AK85" s="65"/>
    </row>
    <row r="86" spans="34:37" x14ac:dyDescent="0.25">
      <c r="AH86" s="138" t="str">
        <f t="shared" si="10"/>
        <v/>
      </c>
      <c r="AI86" s="138" t="str">
        <f t="shared" si="11"/>
        <v/>
      </c>
      <c r="AJ86" s="138" t="str">
        <f t="shared" si="12"/>
        <v/>
      </c>
      <c r="AK86" s="65"/>
    </row>
    <row r="87" spans="34:37" x14ac:dyDescent="0.25">
      <c r="AH87" s="138" t="str">
        <f t="shared" si="10"/>
        <v/>
      </c>
      <c r="AI87" s="138" t="str">
        <f t="shared" si="11"/>
        <v/>
      </c>
      <c r="AJ87" s="138" t="str">
        <f t="shared" si="12"/>
        <v/>
      </c>
      <c r="AK87" s="65"/>
    </row>
    <row r="88" spans="34:37" x14ac:dyDescent="0.25">
      <c r="AH88" s="138" t="str">
        <f t="shared" si="10"/>
        <v/>
      </c>
      <c r="AI88" s="138" t="str">
        <f t="shared" si="11"/>
        <v/>
      </c>
      <c r="AJ88" s="138" t="str">
        <f t="shared" si="12"/>
        <v/>
      </c>
      <c r="AK88" s="65"/>
    </row>
    <row r="89" spans="34:37" x14ac:dyDescent="0.25">
      <c r="AH89" s="138" t="str">
        <f t="shared" si="10"/>
        <v/>
      </c>
      <c r="AI89" s="138" t="str">
        <f t="shared" si="11"/>
        <v/>
      </c>
      <c r="AJ89" s="138" t="str">
        <f t="shared" si="12"/>
        <v/>
      </c>
      <c r="AK89" s="65"/>
    </row>
    <row r="90" spans="34:37" x14ac:dyDescent="0.25">
      <c r="AH90" s="138" t="str">
        <f t="shared" si="10"/>
        <v/>
      </c>
      <c r="AI90" s="138" t="str">
        <f t="shared" si="11"/>
        <v/>
      </c>
      <c r="AJ90" s="138" t="str">
        <f t="shared" si="12"/>
        <v/>
      </c>
      <c r="AK90" s="65"/>
    </row>
    <row r="91" spans="34:37" x14ac:dyDescent="0.25">
      <c r="AH91" s="138" t="str">
        <f t="shared" si="10"/>
        <v/>
      </c>
      <c r="AI91" s="138" t="str">
        <f t="shared" si="11"/>
        <v/>
      </c>
      <c r="AJ91" s="138" t="str">
        <f t="shared" si="12"/>
        <v/>
      </c>
      <c r="AK91" s="65"/>
    </row>
    <row r="92" spans="34:37" x14ac:dyDescent="0.25">
      <c r="AH92" s="138" t="str">
        <f t="shared" si="10"/>
        <v/>
      </c>
      <c r="AI92" s="138" t="str">
        <f t="shared" si="11"/>
        <v/>
      </c>
      <c r="AJ92" s="138" t="str">
        <f t="shared" si="12"/>
        <v/>
      </c>
      <c r="AK92" s="65"/>
    </row>
    <row r="93" spans="34:37" x14ac:dyDescent="0.25">
      <c r="AH93" s="138" t="str">
        <f t="shared" si="10"/>
        <v/>
      </c>
      <c r="AI93" s="138" t="str">
        <f t="shared" si="11"/>
        <v/>
      </c>
      <c r="AJ93" s="138" t="str">
        <f t="shared" si="12"/>
        <v/>
      </c>
      <c r="AK93" s="65"/>
    </row>
    <row r="94" spans="34:37" x14ac:dyDescent="0.25">
      <c r="AH94" s="138" t="str">
        <f t="shared" si="10"/>
        <v/>
      </c>
      <c r="AI94" s="138" t="str">
        <f t="shared" si="11"/>
        <v/>
      </c>
      <c r="AJ94" s="138" t="str">
        <f t="shared" si="12"/>
        <v/>
      </c>
      <c r="AK94" s="65"/>
    </row>
    <row r="95" spans="34:37" x14ac:dyDescent="0.25">
      <c r="AH95" s="138" t="str">
        <f t="shared" si="10"/>
        <v/>
      </c>
      <c r="AI95" s="138" t="str">
        <f t="shared" si="11"/>
        <v/>
      </c>
      <c r="AJ95" s="138" t="str">
        <f t="shared" si="12"/>
        <v/>
      </c>
      <c r="AK95" s="65"/>
    </row>
    <row r="96" spans="34:37" x14ac:dyDescent="0.25">
      <c r="AH96" s="138" t="str">
        <f t="shared" si="10"/>
        <v/>
      </c>
      <c r="AI96" s="138" t="str">
        <f t="shared" si="11"/>
        <v/>
      </c>
      <c r="AJ96" s="138" t="str">
        <f t="shared" si="12"/>
        <v/>
      </c>
      <c r="AK96" s="65"/>
    </row>
    <row r="97" spans="34:37" x14ac:dyDescent="0.25">
      <c r="AH97" s="138" t="str">
        <f t="shared" si="10"/>
        <v/>
      </c>
      <c r="AI97" s="138" t="str">
        <f t="shared" si="11"/>
        <v/>
      </c>
      <c r="AJ97" s="138" t="str">
        <f t="shared" si="12"/>
        <v/>
      </c>
      <c r="AK97" s="65"/>
    </row>
    <row r="98" spans="34:37" x14ac:dyDescent="0.25">
      <c r="AH98" s="138" t="str">
        <f t="shared" si="10"/>
        <v/>
      </c>
      <c r="AI98" s="138" t="str">
        <f t="shared" si="11"/>
        <v/>
      </c>
      <c r="AJ98" s="138" t="str">
        <f t="shared" si="12"/>
        <v/>
      </c>
      <c r="AK98" s="65"/>
    </row>
    <row r="99" spans="34:37" x14ac:dyDescent="0.25">
      <c r="AH99" s="138" t="str">
        <f t="shared" si="10"/>
        <v/>
      </c>
      <c r="AI99" s="138" t="str">
        <f t="shared" si="11"/>
        <v/>
      </c>
      <c r="AJ99" s="138" t="str">
        <f t="shared" si="12"/>
        <v/>
      </c>
      <c r="AK99" s="65"/>
    </row>
    <row r="100" spans="34:37" x14ac:dyDescent="0.25">
      <c r="AH100" s="138" t="str">
        <f t="shared" si="10"/>
        <v/>
      </c>
      <c r="AI100" s="138" t="str">
        <f t="shared" si="11"/>
        <v/>
      </c>
      <c r="AJ100" s="138" t="str">
        <f t="shared" si="12"/>
        <v/>
      </c>
      <c r="AK100" s="65"/>
    </row>
    <row r="101" spans="34:37" x14ac:dyDescent="0.25">
      <c r="AH101" s="138" t="str">
        <f t="shared" si="10"/>
        <v/>
      </c>
      <c r="AI101" s="138" t="str">
        <f t="shared" si="11"/>
        <v/>
      </c>
      <c r="AJ101" s="138" t="str">
        <f t="shared" si="12"/>
        <v/>
      </c>
      <c r="AK101" s="65"/>
    </row>
    <row r="102" spans="34:37" x14ac:dyDescent="0.25">
      <c r="AH102" s="138" t="str">
        <f t="shared" si="10"/>
        <v/>
      </c>
      <c r="AI102" s="138" t="str">
        <f t="shared" si="11"/>
        <v/>
      </c>
      <c r="AJ102" s="138" t="str">
        <f t="shared" si="12"/>
        <v/>
      </c>
      <c r="AK102" s="65"/>
    </row>
    <row r="103" spans="34:37" x14ac:dyDescent="0.25">
      <c r="AH103" s="138" t="str">
        <f t="shared" si="10"/>
        <v/>
      </c>
      <c r="AI103" s="138" t="str">
        <f t="shared" si="11"/>
        <v/>
      </c>
      <c r="AJ103" s="138" t="str">
        <f t="shared" si="12"/>
        <v/>
      </c>
      <c r="AK103" s="65"/>
    </row>
    <row r="104" spans="34:37" x14ac:dyDescent="0.25">
      <c r="AH104" s="138" t="str">
        <f t="shared" si="10"/>
        <v/>
      </c>
      <c r="AI104" s="138" t="str">
        <f t="shared" si="11"/>
        <v/>
      </c>
      <c r="AJ104" s="138" t="str">
        <f t="shared" si="12"/>
        <v/>
      </c>
      <c r="AK104" s="65"/>
    </row>
    <row r="105" spans="34:37" x14ac:dyDescent="0.25">
      <c r="AH105" s="138" t="str">
        <f t="shared" si="10"/>
        <v/>
      </c>
      <c r="AI105" s="138" t="str">
        <f t="shared" si="11"/>
        <v/>
      </c>
      <c r="AJ105" s="138" t="str">
        <f t="shared" si="12"/>
        <v/>
      </c>
      <c r="AK105" s="65"/>
    </row>
    <row r="106" spans="34:37" x14ac:dyDescent="0.25">
      <c r="AH106" s="138" t="str">
        <f t="shared" si="10"/>
        <v/>
      </c>
      <c r="AI106" s="138" t="str">
        <f t="shared" si="11"/>
        <v/>
      </c>
      <c r="AJ106" s="138" t="str">
        <f t="shared" si="12"/>
        <v/>
      </c>
      <c r="AK106" s="65"/>
    </row>
  </sheetData>
  <autoFilter ref="BG4:BJ15" xr:uid="{00000000-0009-0000-0000-000004000000}"/>
  <dataConsolidate/>
  <mergeCells count="10">
    <mergeCell ref="A3:A4"/>
    <mergeCell ref="B3:B4"/>
    <mergeCell ref="C3:C4"/>
    <mergeCell ref="F3:F4"/>
    <mergeCell ref="D3:D4"/>
    <mergeCell ref="BF3:BF4"/>
    <mergeCell ref="E3:E4"/>
    <mergeCell ref="AH3:AJ3"/>
    <mergeCell ref="K3:AG3"/>
    <mergeCell ref="G3:J3"/>
  </mergeCells>
  <phoneticPr fontId="4" type="noConversion"/>
  <pageMargins left="0.24" right="0.22" top="0.25" bottom="0.24" header="0.33" footer="0.18"/>
  <pageSetup paperSize="9" scale="75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" filterMode="1"/>
  <dimension ref="A1:BI73"/>
  <sheetViews>
    <sheetView workbookViewId="0">
      <selection activeCell="AZ3" sqref="AZ3"/>
    </sheetView>
  </sheetViews>
  <sheetFormatPr defaultRowHeight="13.2" x14ac:dyDescent="0.25"/>
  <cols>
    <col min="1" max="1" width="3.44140625" customWidth="1"/>
    <col min="2" max="2" width="39.44140625" bestFit="1" customWidth="1"/>
    <col min="3" max="3" width="6.109375" bestFit="1" customWidth="1"/>
    <col min="4" max="4" width="5.109375" bestFit="1" customWidth="1"/>
    <col min="5" max="5" width="2.33203125" customWidth="1"/>
    <col min="6" max="6" width="2.6640625" customWidth="1"/>
    <col min="7" max="7" width="3.5546875" customWidth="1"/>
    <col min="8" max="8" width="2.88671875" customWidth="1"/>
    <col min="9" max="9" width="2.33203125" customWidth="1"/>
    <col min="10" max="10" width="2.109375" customWidth="1"/>
    <col min="11" max="13" width="2.5546875" customWidth="1"/>
    <col min="14" max="14" width="2.33203125" customWidth="1"/>
    <col min="15" max="15" width="2.5546875" customWidth="1"/>
    <col min="16" max="16" width="2.33203125" customWidth="1"/>
    <col min="17" max="17" width="2.5546875" customWidth="1"/>
    <col min="18" max="18" width="2.33203125" customWidth="1"/>
    <col min="19" max="22" width="2.5546875" customWidth="1"/>
    <col min="23" max="23" width="2.33203125" customWidth="1"/>
    <col min="24" max="33" width="2.5546875" customWidth="1"/>
    <col min="34" max="34" width="3.88671875" customWidth="1"/>
    <col min="35" max="35" width="3.5546875" customWidth="1"/>
    <col min="36" max="36" width="3.33203125" customWidth="1"/>
    <col min="37" max="37" width="4.33203125" customWidth="1"/>
    <col min="38" max="38" width="3.5546875" customWidth="1"/>
    <col min="39" max="39" width="3.88671875" customWidth="1"/>
    <col min="40" max="40" width="2.5546875" customWidth="1"/>
    <col min="41" max="41" width="3.33203125" customWidth="1"/>
    <col min="42" max="42" width="2.6640625" customWidth="1"/>
    <col min="43" max="43" width="3.6640625" customWidth="1"/>
    <col min="44" max="44" width="2.88671875" customWidth="1"/>
    <col min="45" max="46" width="3.6640625" customWidth="1"/>
    <col min="47" max="47" width="3.44140625" customWidth="1"/>
    <col min="48" max="48" width="3.5546875" customWidth="1"/>
    <col min="49" max="49" width="3.44140625" customWidth="1"/>
    <col min="50" max="57" width="4" customWidth="1"/>
    <col min="58" max="58" width="6.6640625" customWidth="1"/>
    <col min="59" max="59" width="4.6640625" customWidth="1"/>
    <col min="60" max="60" width="7.5546875" customWidth="1"/>
  </cols>
  <sheetData>
    <row r="1" spans="1:61" s="25" customFormat="1" x14ac:dyDescent="0.25">
      <c r="G1" s="1" t="s">
        <v>247</v>
      </c>
      <c r="H1" s="1"/>
      <c r="I1" s="1"/>
      <c r="J1" s="1"/>
      <c r="K1" s="1"/>
      <c r="L1" s="28"/>
      <c r="M1" s="28"/>
      <c r="N1" s="28"/>
      <c r="O1" s="28"/>
      <c r="P1" s="1"/>
      <c r="Q1" s="1"/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1" ht="15" customHeight="1" thickBot="1" x14ac:dyDescent="0.4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G2" s="107" t="s">
        <v>187</v>
      </c>
    </row>
    <row r="3" spans="1:61" ht="51" customHeight="1" thickBot="1" x14ac:dyDescent="0.3">
      <c r="A3" s="318" t="s">
        <v>1</v>
      </c>
      <c r="B3" s="300" t="s">
        <v>2</v>
      </c>
      <c r="C3" s="322" t="s">
        <v>3</v>
      </c>
      <c r="D3" s="304" t="s">
        <v>77</v>
      </c>
      <c r="E3" s="304" t="s">
        <v>40</v>
      </c>
      <c r="F3" s="324" t="s">
        <v>4</v>
      </c>
      <c r="G3" s="316" t="s">
        <v>5</v>
      </c>
      <c r="H3" s="316"/>
      <c r="I3" s="316"/>
      <c r="J3" s="317"/>
      <c r="K3" s="292" t="s">
        <v>46</v>
      </c>
      <c r="L3" s="293"/>
      <c r="M3" s="293"/>
      <c r="N3" s="315"/>
      <c r="O3" s="315"/>
      <c r="P3" s="315"/>
      <c r="Q3" s="315"/>
      <c r="R3" s="315"/>
      <c r="S3" s="315"/>
      <c r="T3" s="315"/>
      <c r="U3" s="315"/>
      <c r="V3" s="315"/>
      <c r="W3" s="315"/>
      <c r="X3" s="315"/>
      <c r="Y3" s="315"/>
      <c r="Z3" s="315"/>
      <c r="AA3" s="315"/>
      <c r="AB3" s="315"/>
      <c r="AC3" s="315"/>
      <c r="AD3" s="315"/>
      <c r="AE3" s="315"/>
      <c r="AF3" s="315"/>
      <c r="AG3" s="315"/>
      <c r="AH3" s="314" t="s">
        <v>56</v>
      </c>
      <c r="AI3" s="314"/>
      <c r="AJ3" s="314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39" t="s">
        <v>62</v>
      </c>
      <c r="BF3" s="311" t="s">
        <v>10</v>
      </c>
      <c r="BG3" s="101">
        <v>0.5</v>
      </c>
    </row>
    <row r="4" spans="1:61" ht="92.4" x14ac:dyDescent="0.25">
      <c r="A4" s="319"/>
      <c r="B4" s="301"/>
      <c r="C4" s="323"/>
      <c r="D4" s="305"/>
      <c r="E4" s="313"/>
      <c r="F4" s="325"/>
      <c r="G4" s="14" t="s">
        <v>11</v>
      </c>
      <c r="H4" s="14" t="s">
        <v>12</v>
      </c>
      <c r="I4" s="14" t="s">
        <v>13</v>
      </c>
      <c r="J4" s="16" t="s">
        <v>14</v>
      </c>
      <c r="K4" s="30" t="s">
        <v>43</v>
      </c>
      <c r="L4" s="24" t="s">
        <v>44</v>
      </c>
      <c r="M4" s="31" t="s">
        <v>45</v>
      </c>
      <c r="N4" s="7" t="s">
        <v>47</v>
      </c>
      <c r="O4" s="7" t="s">
        <v>48</v>
      </c>
      <c r="P4" s="7" t="s">
        <v>49</v>
      </c>
      <c r="Q4" s="7" t="s">
        <v>7</v>
      </c>
      <c r="R4" s="7" t="s">
        <v>22</v>
      </c>
      <c r="S4" s="7" t="s">
        <v>50</v>
      </c>
      <c r="T4" s="7" t="s">
        <v>51</v>
      </c>
      <c r="U4" s="7" t="s">
        <v>52</v>
      </c>
      <c r="V4" s="7" t="s">
        <v>53</v>
      </c>
      <c r="W4" s="7" t="s">
        <v>29</v>
      </c>
      <c r="X4" s="7" t="s">
        <v>9</v>
      </c>
      <c r="Y4" s="7" t="s">
        <v>54</v>
      </c>
      <c r="Z4" s="7" t="s">
        <v>55</v>
      </c>
      <c r="AA4" s="7" t="s">
        <v>34</v>
      </c>
      <c r="AB4" s="7" t="s">
        <v>35</v>
      </c>
      <c r="AC4" s="7" t="s">
        <v>36</v>
      </c>
      <c r="AD4" s="7" t="s">
        <v>37</v>
      </c>
      <c r="AE4" s="7" t="s">
        <v>59</v>
      </c>
      <c r="AF4" s="7" t="s">
        <v>60</v>
      </c>
      <c r="AG4" s="15" t="s">
        <v>62</v>
      </c>
      <c r="AH4" s="5" t="s">
        <v>43</v>
      </c>
      <c r="AI4" s="5" t="s">
        <v>44</v>
      </c>
      <c r="AJ4" s="5" t="s">
        <v>45</v>
      </c>
      <c r="AK4" s="5" t="s">
        <v>42</v>
      </c>
      <c r="AL4" s="5" t="s">
        <v>15</v>
      </c>
      <c r="AM4" s="5" t="s">
        <v>16</v>
      </c>
      <c r="AN4" s="5" t="s">
        <v>15</v>
      </c>
      <c r="AO4" s="5" t="s">
        <v>17</v>
      </c>
      <c r="AP4" s="5" t="s">
        <v>18</v>
      </c>
      <c r="AQ4" s="5" t="s">
        <v>23</v>
      </c>
      <c r="AR4" s="5" t="s">
        <v>19</v>
      </c>
      <c r="AS4" s="5" t="s">
        <v>25</v>
      </c>
      <c r="AT4" s="5" t="s">
        <v>92</v>
      </c>
      <c r="AU4" s="5" t="s">
        <v>31</v>
      </c>
      <c r="AV4" s="5" t="s">
        <v>32</v>
      </c>
      <c r="AW4" s="5" t="s">
        <v>27</v>
      </c>
      <c r="AX4" s="5" t="s">
        <v>94</v>
      </c>
      <c r="AY4" s="5" t="s">
        <v>20</v>
      </c>
      <c r="AZ4" s="5" t="s">
        <v>26</v>
      </c>
      <c r="BA4" s="5" t="s">
        <v>20</v>
      </c>
      <c r="BB4" s="5" t="s">
        <v>38</v>
      </c>
      <c r="BC4" s="5" t="s">
        <v>58</v>
      </c>
      <c r="BD4" s="5" t="s">
        <v>61</v>
      </c>
      <c r="BE4" s="5" t="s">
        <v>63</v>
      </c>
      <c r="BF4" s="312"/>
      <c r="BG4" s="104" t="s">
        <v>235</v>
      </c>
      <c r="BH4" s="17" t="s">
        <v>21</v>
      </c>
    </row>
    <row r="5" spans="1:61" x14ac:dyDescent="0.25">
      <c r="A5" s="20"/>
      <c r="B5" s="21" t="s">
        <v>78</v>
      </c>
      <c r="C5" s="199"/>
      <c r="D5" s="198"/>
      <c r="E5" s="198"/>
      <c r="F5" s="200"/>
      <c r="G5" s="200"/>
      <c r="H5" s="200"/>
      <c r="I5" s="200"/>
      <c r="J5" s="16"/>
      <c r="K5" s="209"/>
      <c r="L5" s="200"/>
      <c r="M5" s="210"/>
      <c r="N5" s="199"/>
      <c r="O5" s="199"/>
      <c r="P5" s="199"/>
      <c r="Q5" s="199"/>
      <c r="R5" s="199"/>
      <c r="S5" s="199"/>
      <c r="T5" s="199"/>
      <c r="U5" s="199"/>
      <c r="V5" s="199"/>
      <c r="W5" s="199"/>
      <c r="X5" s="199"/>
      <c r="Y5" s="199"/>
      <c r="Z5" s="199"/>
      <c r="AA5" s="199"/>
      <c r="AB5" s="199"/>
      <c r="AC5" s="199"/>
      <c r="AD5" s="199"/>
      <c r="AE5" s="199"/>
      <c r="AF5" s="199"/>
      <c r="AG5" s="199"/>
      <c r="AH5" s="199"/>
      <c r="AI5" s="199"/>
      <c r="AJ5" s="199"/>
      <c r="AK5" s="15"/>
      <c r="AL5" s="16"/>
      <c r="AM5" s="199"/>
      <c r="AN5" s="200"/>
      <c r="AO5" s="200"/>
      <c r="AP5" s="200"/>
      <c r="AQ5" s="200"/>
      <c r="AR5" s="200"/>
      <c r="AS5" s="200"/>
      <c r="AT5" s="200"/>
      <c r="AU5" s="200"/>
      <c r="AV5" s="200"/>
      <c r="AW5" s="200"/>
      <c r="AX5" s="200"/>
      <c r="AY5" s="200"/>
      <c r="AZ5" s="200"/>
      <c r="BA5" s="200"/>
      <c r="BB5" s="200"/>
      <c r="BC5" s="200"/>
      <c r="BD5" s="200"/>
      <c r="BE5" s="15"/>
      <c r="BF5" s="235">
        <f>SUM(BF6:BF15)</f>
        <v>0</v>
      </c>
      <c r="BG5" s="235">
        <f>SUM(BG7:BG16)</f>
        <v>0</v>
      </c>
      <c r="BH5" s="235">
        <f>SUM(BH7:BH16)</f>
        <v>0</v>
      </c>
      <c r="BI5">
        <f>BF5/'Ставки-часы'!$A$24</f>
        <v>0</v>
      </c>
    </row>
    <row r="6" spans="1:61" s="207" customFormat="1" x14ac:dyDescent="0.25">
      <c r="A6" s="211"/>
      <c r="B6" s="211"/>
      <c r="C6" s="21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211"/>
      <c r="P6" s="211"/>
      <c r="Q6" s="211"/>
      <c r="R6" s="211"/>
      <c r="S6" s="211"/>
      <c r="T6" s="211"/>
      <c r="U6" s="211"/>
      <c r="V6" s="211"/>
      <c r="W6" s="211"/>
      <c r="X6" s="211"/>
      <c r="Y6" s="211"/>
      <c r="Z6" s="211"/>
      <c r="AA6" s="211"/>
      <c r="AB6" s="211"/>
      <c r="AC6" s="211"/>
      <c r="AD6" s="211"/>
      <c r="AE6" s="211"/>
      <c r="AF6" s="211"/>
      <c r="AG6" s="211"/>
      <c r="AH6" s="88" t="str">
        <f>IF(K6&lt;&gt;"",H6*K6,"")</f>
        <v/>
      </c>
      <c r="AI6" s="88" t="str">
        <f>IF(L6&lt;&gt;"",H6*L6,"")</f>
        <v/>
      </c>
      <c r="AJ6" s="88" t="str">
        <f t="shared" ref="AJ6" si="0">IF(M6&lt;&gt;"",M6*H6,"")</f>
        <v/>
      </c>
      <c r="AK6" s="88" t="str">
        <f xml:space="preserve"> IF(N6&lt;&gt;"", 0.05*K6+2,"")</f>
        <v/>
      </c>
      <c r="AL6" s="88">
        <f>IF(F6="з",0.15,0.05)*IF(AI6&lt;&gt;"",AI6,0)+2*IF(O6=1,1,0)</f>
        <v>0</v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211">
        <f>SUM(AH6:BE6)</f>
        <v>0</v>
      </c>
    </row>
    <row r="7" spans="1:61" s="78" customFormat="1" x14ac:dyDescent="0.25">
      <c r="A7" s="276"/>
      <c r="B7" s="277"/>
      <c r="C7" s="276"/>
      <c r="D7" s="119"/>
      <c r="E7" s="119"/>
      <c r="F7" s="119"/>
      <c r="G7" s="119"/>
      <c r="H7" s="119"/>
      <c r="I7" s="119"/>
      <c r="J7" s="236"/>
      <c r="K7" s="237"/>
      <c r="L7" s="119"/>
      <c r="M7" s="120"/>
      <c r="N7" s="121"/>
      <c r="O7" s="119"/>
      <c r="P7" s="229"/>
      <c r="Q7" s="229"/>
      <c r="R7" s="229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29"/>
      <c r="AH7" s="122"/>
      <c r="AI7" s="122"/>
      <c r="AJ7" s="230"/>
      <c r="AK7" s="122"/>
      <c r="AL7" s="122"/>
      <c r="AM7" s="122"/>
      <c r="AN7" s="122"/>
      <c r="AO7" s="122"/>
      <c r="AP7" s="122"/>
      <c r="AQ7" s="230"/>
      <c r="AR7" s="230"/>
      <c r="AS7" s="230"/>
      <c r="AT7" s="230"/>
      <c r="AU7" s="230"/>
      <c r="AV7" s="230"/>
      <c r="AW7" s="230"/>
      <c r="AX7" s="230"/>
      <c r="AY7" s="230"/>
      <c r="AZ7" s="230"/>
      <c r="BA7" s="230"/>
      <c r="BB7" s="230"/>
      <c r="BC7" s="230"/>
      <c r="BD7" s="230"/>
      <c r="BE7" s="230"/>
      <c r="BF7" s="211">
        <f t="shared" ref="BF7:BF23" si="1">SUM(AH7:BE7)</f>
        <v>0</v>
      </c>
      <c r="BG7" s="238"/>
      <c r="BH7" s="119">
        <f t="shared" ref="BH7:BH15" si="2">IF(BG7=BF7,0,BF7)</f>
        <v>0</v>
      </c>
    </row>
    <row r="8" spans="1:61" s="207" customFormat="1" x14ac:dyDescent="0.25">
      <c r="A8" s="278"/>
      <c r="B8" s="279"/>
      <c r="C8" s="278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211">
        <f t="shared" si="1"/>
        <v>0</v>
      </c>
      <c r="BG8" s="261"/>
      <c r="BH8" s="129"/>
    </row>
    <row r="9" spans="1:61" s="207" customFormat="1" x14ac:dyDescent="0.25">
      <c r="A9" s="278"/>
      <c r="B9" s="280"/>
      <c r="C9" s="278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211">
        <f t="shared" si="1"/>
        <v>0</v>
      </c>
      <c r="BG9" s="261"/>
      <c r="BH9" s="129"/>
    </row>
    <row r="10" spans="1:61" s="207" customFormat="1" x14ac:dyDescent="0.25">
      <c r="A10" s="278"/>
      <c r="B10" s="279"/>
      <c r="C10" s="278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211">
        <f t="shared" si="1"/>
        <v>0</v>
      </c>
      <c r="BG10" s="261"/>
      <c r="BH10" s="129"/>
    </row>
    <row r="11" spans="1:61" x14ac:dyDescent="0.25">
      <c r="A11" s="276"/>
      <c r="B11" s="277"/>
      <c r="C11" s="276"/>
      <c r="D11" s="119"/>
      <c r="E11" s="119"/>
      <c r="F11" s="119"/>
      <c r="G11" s="119"/>
      <c r="H11" s="119"/>
      <c r="I11" s="119"/>
      <c r="J11" s="239"/>
      <c r="K11" s="237"/>
      <c r="L11" s="119"/>
      <c r="M11" s="120"/>
      <c r="N11" s="121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22"/>
      <c r="AI11" s="122"/>
      <c r="AJ11" s="122"/>
      <c r="AK11" s="122"/>
      <c r="AL11" s="122"/>
      <c r="AM11" s="122"/>
      <c r="AN11" s="122"/>
      <c r="AO11" s="122"/>
      <c r="AP11" s="122"/>
      <c r="AQ11" s="122"/>
      <c r="AR11" s="122"/>
      <c r="AS11" s="122"/>
      <c r="AT11" s="122"/>
      <c r="AU11" s="122"/>
      <c r="AV11" s="122"/>
      <c r="AW11" s="122"/>
      <c r="AX11" s="122"/>
      <c r="AY11" s="122"/>
      <c r="AZ11" s="122"/>
      <c r="BA11" s="122"/>
      <c r="BB11" s="122"/>
      <c r="BC11" s="122"/>
      <c r="BD11" s="122"/>
      <c r="BE11" s="122"/>
      <c r="BF11" s="211">
        <f t="shared" si="1"/>
        <v>0</v>
      </c>
      <c r="BG11" s="238"/>
      <c r="BH11" s="119">
        <f t="shared" si="2"/>
        <v>0</v>
      </c>
    </row>
    <row r="12" spans="1:61" s="207" customFormat="1" x14ac:dyDescent="0.25">
      <c r="A12" s="278"/>
      <c r="B12" s="279"/>
      <c r="C12" s="278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211">
        <f t="shared" si="1"/>
        <v>0</v>
      </c>
      <c r="BG12" s="261"/>
      <c r="BH12" s="129"/>
    </row>
    <row r="13" spans="1:61" x14ac:dyDescent="0.25">
      <c r="A13" s="276"/>
      <c r="B13" s="277"/>
      <c r="C13" s="276"/>
      <c r="D13" s="119"/>
      <c r="E13" s="119"/>
      <c r="F13" s="119"/>
      <c r="G13" s="119"/>
      <c r="H13" s="119"/>
      <c r="I13" s="119"/>
      <c r="J13" s="239"/>
      <c r="K13" s="237"/>
      <c r="L13" s="119"/>
      <c r="M13" s="120"/>
      <c r="N13" s="121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  <c r="AA13" s="119"/>
      <c r="AB13" s="119"/>
      <c r="AC13" s="119"/>
      <c r="AD13" s="119"/>
      <c r="AE13" s="119"/>
      <c r="AF13" s="119"/>
      <c r="AG13" s="119"/>
      <c r="AH13" s="122"/>
      <c r="AI13" s="122"/>
      <c r="AJ13" s="122"/>
      <c r="AK13" s="122"/>
      <c r="AL13" s="122"/>
      <c r="AM13" s="122"/>
      <c r="AN13" s="122"/>
      <c r="AO13" s="122"/>
      <c r="AP13" s="122"/>
      <c r="AQ13" s="122"/>
      <c r="AR13" s="122"/>
      <c r="AS13" s="122"/>
      <c r="AT13" s="122"/>
      <c r="AU13" s="122"/>
      <c r="AV13" s="122"/>
      <c r="AW13" s="122"/>
      <c r="AX13" s="122"/>
      <c r="AY13" s="122"/>
      <c r="AZ13" s="122"/>
      <c r="BA13" s="122"/>
      <c r="BB13" s="122"/>
      <c r="BC13" s="122"/>
      <c r="BD13" s="122"/>
      <c r="BE13" s="122"/>
      <c r="BF13" s="211">
        <f t="shared" si="1"/>
        <v>0</v>
      </c>
      <c r="BG13" s="238"/>
      <c r="BH13" s="119">
        <f t="shared" si="2"/>
        <v>0</v>
      </c>
    </row>
    <row r="14" spans="1:61" s="207" customFormat="1" x14ac:dyDescent="0.25">
      <c r="A14" s="278"/>
      <c r="B14" s="279"/>
      <c r="C14" s="278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88"/>
      <c r="AI14" s="88"/>
      <c r="AJ14" s="88"/>
      <c r="AK14" s="88"/>
      <c r="AL14" s="88"/>
      <c r="AM14" s="88"/>
      <c r="AN14" s="88"/>
      <c r="AO14" s="88"/>
      <c r="AP14" s="88"/>
      <c r="AQ14" s="88"/>
      <c r="AR14" s="88"/>
      <c r="AS14" s="88"/>
      <c r="AT14" s="88"/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211">
        <f t="shared" si="1"/>
        <v>0</v>
      </c>
      <c r="BG14" s="261"/>
      <c r="BH14" s="129"/>
    </row>
    <row r="15" spans="1:61" x14ac:dyDescent="0.25">
      <c r="A15" s="276"/>
      <c r="B15" s="277"/>
      <c r="C15" s="276"/>
      <c r="D15" s="119"/>
      <c r="E15" s="119"/>
      <c r="F15" s="119"/>
      <c r="G15" s="119"/>
      <c r="H15" s="119"/>
      <c r="I15" s="119"/>
      <c r="J15" s="239"/>
      <c r="K15" s="237"/>
      <c r="L15" s="119"/>
      <c r="M15" s="120"/>
      <c r="N15" s="121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22"/>
      <c r="AI15" s="122"/>
      <c r="AJ15" s="122"/>
      <c r="AK15" s="122"/>
      <c r="AL15" s="122"/>
      <c r="AM15" s="122"/>
      <c r="AN15" s="122"/>
      <c r="AO15" s="122"/>
      <c r="AP15" s="122"/>
      <c r="AQ15" s="122"/>
      <c r="AR15" s="122"/>
      <c r="AS15" s="122"/>
      <c r="AT15" s="122"/>
      <c r="AU15" s="122"/>
      <c r="AV15" s="122"/>
      <c r="AW15" s="122"/>
      <c r="AX15" s="122"/>
      <c r="AY15" s="122"/>
      <c r="AZ15" s="122"/>
      <c r="BA15" s="122"/>
      <c r="BB15" s="122"/>
      <c r="BC15" s="122"/>
      <c r="BD15" s="122"/>
      <c r="BE15" s="122"/>
      <c r="BF15" s="211">
        <f t="shared" si="1"/>
        <v>0</v>
      </c>
      <c r="BG15" s="238"/>
      <c r="BH15" s="119">
        <f t="shared" si="2"/>
        <v>0</v>
      </c>
    </row>
    <row r="16" spans="1:61" s="207" customFormat="1" x14ac:dyDescent="0.25">
      <c r="A16" s="43"/>
      <c r="B16" s="240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88"/>
      <c r="AI16" s="88"/>
      <c r="AJ16" s="88"/>
      <c r="AK16" s="88"/>
      <c r="AL16" s="88"/>
      <c r="AM16" s="88"/>
      <c r="AN16" s="88"/>
      <c r="AO16" s="88"/>
      <c r="AP16" s="88"/>
      <c r="AQ16" s="88"/>
      <c r="AR16" s="88"/>
      <c r="AS16" s="88"/>
      <c r="AT16" s="88"/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211">
        <f t="shared" si="1"/>
        <v>0</v>
      </c>
      <c r="BG16" s="261"/>
      <c r="BH16" s="129"/>
    </row>
    <row r="17" spans="1:60" s="207" customFormat="1" x14ac:dyDescent="0.25">
      <c r="A17" s="211"/>
      <c r="B17" s="211"/>
      <c r="C17" s="211"/>
      <c r="D17" s="211"/>
      <c r="E17" s="211"/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1"/>
      <c r="T17" s="211"/>
      <c r="U17" s="211"/>
      <c r="V17" s="211"/>
      <c r="W17" s="211"/>
      <c r="X17" s="211"/>
      <c r="Y17" s="211"/>
      <c r="Z17" s="211"/>
      <c r="AA17" s="211"/>
      <c r="AB17" s="211"/>
      <c r="AC17" s="211"/>
      <c r="AD17" s="211"/>
      <c r="AE17" s="211"/>
      <c r="AF17" s="211"/>
      <c r="AG17" s="211"/>
      <c r="AH17" s="88" t="str">
        <f t="shared" ref="AH17:AH23" si="3">IF(K17&lt;&gt;"",H17*K17,"")</f>
        <v/>
      </c>
      <c r="AI17" s="88" t="str">
        <f t="shared" ref="AI17:AI23" si="4">IF(L17&lt;&gt;"",H17*L17,"")</f>
        <v/>
      </c>
      <c r="AJ17" s="88" t="str">
        <f t="shared" ref="AJ17:AJ23" si="5">IF(M17&lt;&gt;"",M17*H17,"")</f>
        <v/>
      </c>
      <c r="AK17" s="88" t="str">
        <f t="shared" ref="AK17:AK20" si="6" xml:space="preserve"> IF(N17&lt;&gt;"", 0.05*K17+2,"")</f>
        <v/>
      </c>
      <c r="AL17" s="88">
        <f t="shared" ref="AL17:AL23" si="7">IF(F17="з",0.15,0.05)*IF(AI17&lt;&gt;"",AI17,0)+2*IF(O17=1,1,0)</f>
        <v>0</v>
      </c>
      <c r="AM17" s="88" t="str">
        <f t="shared" ref="AM17:AM20" si="8">IF(O17="+",0.25*G17,IF(O17="+Д",G17*0.33,""))</f>
        <v/>
      </c>
      <c r="AN17" s="88"/>
      <c r="AO17" s="88" t="str">
        <f t="shared" ref="AO17:AO20" si="9">IF(Q17&lt;&gt;"",2*G17,"")</f>
        <v/>
      </c>
      <c r="AP17" s="88" t="str">
        <f t="shared" ref="AP17:AP20" si="10">IF(R17&lt;&gt;"",3*H17,"")</f>
        <v/>
      </c>
      <c r="AQ17" s="88"/>
      <c r="AR17" s="88"/>
      <c r="AS17" s="88"/>
      <c r="AT17" s="88" t="str">
        <f t="shared" ref="AT17:AT20" si="11">IF(V17&lt;&gt;"",0.5*G17,"")</f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211">
        <f t="shared" si="1"/>
        <v>0</v>
      </c>
    </row>
    <row r="18" spans="1:60" s="207" customFormat="1" x14ac:dyDescent="0.25">
      <c r="A18" s="211"/>
      <c r="B18" s="211"/>
      <c r="C18" s="211"/>
      <c r="D18" s="211"/>
      <c r="E18" s="211"/>
      <c r="F18" s="211"/>
      <c r="G18" s="211"/>
      <c r="H18" s="211"/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1"/>
      <c r="T18" s="211"/>
      <c r="U18" s="211"/>
      <c r="V18" s="211"/>
      <c r="W18" s="211"/>
      <c r="X18" s="211"/>
      <c r="Y18" s="211"/>
      <c r="Z18" s="211"/>
      <c r="AA18" s="211"/>
      <c r="AB18" s="211"/>
      <c r="AC18" s="211"/>
      <c r="AD18" s="211"/>
      <c r="AE18" s="211"/>
      <c r="AF18" s="211"/>
      <c r="AG18" s="211"/>
      <c r="AH18" s="88" t="str">
        <f t="shared" si="3"/>
        <v/>
      </c>
      <c r="AI18" s="88" t="str">
        <f t="shared" si="4"/>
        <v/>
      </c>
      <c r="AJ18" s="88" t="str">
        <f t="shared" si="5"/>
        <v/>
      </c>
      <c r="AK18" s="88" t="str">
        <f t="shared" si="6"/>
        <v/>
      </c>
      <c r="AL18" s="88">
        <f t="shared" si="7"/>
        <v>0</v>
      </c>
      <c r="AM18" s="88" t="str">
        <f t="shared" si="8"/>
        <v/>
      </c>
      <c r="AN18" s="88"/>
      <c r="AO18" s="88" t="str">
        <f t="shared" si="9"/>
        <v/>
      </c>
      <c r="AP18" s="88" t="str">
        <f t="shared" si="10"/>
        <v/>
      </c>
      <c r="AQ18" s="88"/>
      <c r="AR18" s="88"/>
      <c r="AS18" s="88"/>
      <c r="AT18" s="88" t="str">
        <f t="shared" si="11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211">
        <f t="shared" si="1"/>
        <v>0</v>
      </c>
    </row>
    <row r="19" spans="1:60" s="207" customFormat="1" x14ac:dyDescent="0.25">
      <c r="A19" s="211"/>
      <c r="B19" s="211"/>
      <c r="C19" s="211"/>
      <c r="D19" s="211"/>
      <c r="E19" s="211"/>
      <c r="F19" s="211"/>
      <c r="G19" s="211"/>
      <c r="H19" s="211"/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1"/>
      <c r="T19" s="211"/>
      <c r="U19" s="211"/>
      <c r="V19" s="211"/>
      <c r="W19" s="211"/>
      <c r="X19" s="211"/>
      <c r="Y19" s="211"/>
      <c r="Z19" s="211"/>
      <c r="AA19" s="211"/>
      <c r="AB19" s="211"/>
      <c r="AC19" s="211"/>
      <c r="AD19" s="211"/>
      <c r="AE19" s="211"/>
      <c r="AF19" s="211"/>
      <c r="AG19" s="211"/>
      <c r="AH19" s="88" t="str">
        <f t="shared" si="3"/>
        <v/>
      </c>
      <c r="AI19" s="88" t="str">
        <f t="shared" si="4"/>
        <v/>
      </c>
      <c r="AJ19" s="88" t="str">
        <f t="shared" si="5"/>
        <v/>
      </c>
      <c r="AK19" s="88" t="str">
        <f t="shared" si="6"/>
        <v/>
      </c>
      <c r="AL19" s="88">
        <f t="shared" si="7"/>
        <v>0</v>
      </c>
      <c r="AM19" s="88" t="str">
        <f t="shared" si="8"/>
        <v/>
      </c>
      <c r="AN19" s="88"/>
      <c r="AO19" s="88" t="str">
        <f t="shared" si="9"/>
        <v/>
      </c>
      <c r="AP19" s="88" t="str">
        <f t="shared" si="10"/>
        <v/>
      </c>
      <c r="AQ19" s="88"/>
      <c r="AR19" s="88"/>
      <c r="AS19" s="88"/>
      <c r="AT19" s="88" t="str">
        <f t="shared" si="11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211">
        <f t="shared" si="1"/>
        <v>0</v>
      </c>
    </row>
    <row r="20" spans="1:60" s="207" customFormat="1" x14ac:dyDescent="0.25">
      <c r="A20" s="211"/>
      <c r="B20" s="211"/>
      <c r="C20" s="211"/>
      <c r="D20" s="211"/>
      <c r="E20" s="211"/>
      <c r="F20" s="211"/>
      <c r="G20" s="211"/>
      <c r="H20" s="211"/>
      <c r="I20" s="211"/>
      <c r="J20" s="211"/>
      <c r="K20" s="211"/>
      <c r="L20" s="211"/>
      <c r="M20" s="211"/>
      <c r="N20" s="211"/>
      <c r="O20" s="211"/>
      <c r="P20" s="211"/>
      <c r="Q20" s="211"/>
      <c r="R20" s="211"/>
      <c r="S20" s="211"/>
      <c r="T20" s="211"/>
      <c r="U20" s="211"/>
      <c r="V20" s="211"/>
      <c r="W20" s="211"/>
      <c r="X20" s="211"/>
      <c r="Y20" s="211"/>
      <c r="Z20" s="211"/>
      <c r="AA20" s="211"/>
      <c r="AB20" s="211"/>
      <c r="AC20" s="211"/>
      <c r="AD20" s="211"/>
      <c r="AE20" s="211"/>
      <c r="AF20" s="211"/>
      <c r="AG20" s="211"/>
      <c r="AH20" s="88" t="str">
        <f t="shared" si="3"/>
        <v/>
      </c>
      <c r="AI20" s="88" t="str">
        <f t="shared" si="4"/>
        <v/>
      </c>
      <c r="AJ20" s="88" t="str">
        <f t="shared" si="5"/>
        <v/>
      </c>
      <c r="AK20" s="88" t="str">
        <f t="shared" si="6"/>
        <v/>
      </c>
      <c r="AL20" s="88">
        <f t="shared" si="7"/>
        <v>0</v>
      </c>
      <c r="AM20" s="88" t="str">
        <f t="shared" si="8"/>
        <v/>
      </c>
      <c r="AN20" s="88"/>
      <c r="AO20" s="88" t="str">
        <f t="shared" si="9"/>
        <v/>
      </c>
      <c r="AP20" s="88" t="str">
        <f t="shared" si="10"/>
        <v/>
      </c>
      <c r="AQ20" s="88"/>
      <c r="AR20" s="88"/>
      <c r="AS20" s="88"/>
      <c r="AT20" s="88" t="str">
        <f t="shared" si="11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211">
        <f t="shared" si="1"/>
        <v>0</v>
      </c>
    </row>
    <row r="21" spans="1:60" s="207" customFormat="1" x14ac:dyDescent="0.25">
      <c r="A21" s="211"/>
      <c r="B21" s="211"/>
      <c r="C21" s="211"/>
      <c r="D21" s="211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1"/>
      <c r="T21" s="211"/>
      <c r="U21" s="211"/>
      <c r="V21" s="211"/>
      <c r="W21" s="211"/>
      <c r="X21" s="211"/>
      <c r="Y21" s="211"/>
      <c r="Z21" s="211"/>
      <c r="AA21" s="211"/>
      <c r="AB21" s="211"/>
      <c r="AC21" s="211"/>
      <c r="AD21" s="211"/>
      <c r="AE21" s="211"/>
      <c r="AF21" s="211"/>
      <c r="AG21" s="211"/>
      <c r="AH21" s="88" t="str">
        <f t="shared" si="3"/>
        <v/>
      </c>
      <c r="AI21" s="88" t="str">
        <f t="shared" si="4"/>
        <v/>
      </c>
      <c r="AJ21" s="88" t="str">
        <f t="shared" si="5"/>
        <v/>
      </c>
      <c r="AK21" s="211"/>
      <c r="AL21" s="88">
        <f t="shared" si="7"/>
        <v>0</v>
      </c>
      <c r="AM21" s="211"/>
      <c r="AN21" s="211"/>
      <c r="AO21" s="211"/>
      <c r="AP21" s="211"/>
      <c r="AQ21" s="211"/>
      <c r="AR21" s="211"/>
      <c r="AS21" s="211"/>
      <c r="AT21" s="211"/>
      <c r="AU21" s="211"/>
      <c r="AV21" s="211"/>
      <c r="AW21" s="211"/>
      <c r="AX21" s="211"/>
      <c r="AY21" s="211"/>
      <c r="AZ21" s="211"/>
      <c r="BA21" s="211"/>
      <c r="BB21" s="211"/>
      <c r="BC21" s="211"/>
      <c r="BD21" s="211"/>
      <c r="BE21" s="211"/>
      <c r="BF21" s="211">
        <f t="shared" si="1"/>
        <v>0</v>
      </c>
    </row>
    <row r="22" spans="1:60" s="207" customFormat="1" x14ac:dyDescent="0.25">
      <c r="A22" s="211"/>
      <c r="B22" s="211"/>
      <c r="C22" s="211"/>
      <c r="D22" s="211"/>
      <c r="E22" s="211"/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1"/>
      <c r="T22" s="211"/>
      <c r="U22" s="211"/>
      <c r="V22" s="211"/>
      <c r="W22" s="211"/>
      <c r="X22" s="211"/>
      <c r="Y22" s="211"/>
      <c r="Z22" s="211"/>
      <c r="AA22" s="211"/>
      <c r="AB22" s="211"/>
      <c r="AC22" s="211"/>
      <c r="AD22" s="211"/>
      <c r="AE22" s="211"/>
      <c r="AF22" s="211"/>
      <c r="AG22" s="211"/>
      <c r="AH22" s="88" t="str">
        <f t="shared" si="3"/>
        <v/>
      </c>
      <c r="AI22" s="88" t="str">
        <f t="shared" si="4"/>
        <v/>
      </c>
      <c r="AJ22" s="88" t="str">
        <f t="shared" si="5"/>
        <v/>
      </c>
      <c r="AK22" s="211"/>
      <c r="AL22" s="88">
        <f t="shared" si="7"/>
        <v>0</v>
      </c>
      <c r="AM22" s="211"/>
      <c r="AN22" s="211"/>
      <c r="AO22" s="211"/>
      <c r="AP22" s="211"/>
      <c r="AQ22" s="211"/>
      <c r="AR22" s="211"/>
      <c r="AS22" s="211"/>
      <c r="AT22" s="211"/>
      <c r="AU22" s="211"/>
      <c r="AV22" s="211"/>
      <c r="AW22" s="211"/>
      <c r="AX22" s="211"/>
      <c r="AY22" s="211"/>
      <c r="AZ22" s="211"/>
      <c r="BA22" s="211"/>
      <c r="BB22" s="211"/>
      <c r="BC22" s="211"/>
      <c r="BD22" s="211"/>
      <c r="BE22" s="211"/>
      <c r="BF22" s="211">
        <f t="shared" si="1"/>
        <v>0</v>
      </c>
    </row>
    <row r="23" spans="1:60" s="207" customFormat="1" x14ac:dyDescent="0.25">
      <c r="A23" s="211"/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  <c r="AF23" s="211"/>
      <c r="AG23" s="211"/>
      <c r="AH23" s="88" t="str">
        <f t="shared" si="3"/>
        <v/>
      </c>
      <c r="AI23" s="88" t="str">
        <f t="shared" si="4"/>
        <v/>
      </c>
      <c r="AJ23" s="88" t="str">
        <f t="shared" si="5"/>
        <v/>
      </c>
      <c r="AK23" s="211"/>
      <c r="AL23" s="88">
        <f t="shared" si="7"/>
        <v>0</v>
      </c>
      <c r="AM23" s="211"/>
      <c r="AN23" s="211"/>
      <c r="AO23" s="211"/>
      <c r="AP23" s="211"/>
      <c r="AQ23" s="211"/>
      <c r="AR23" s="211"/>
      <c r="AS23" s="211"/>
      <c r="AT23" s="211"/>
      <c r="AU23" s="211"/>
      <c r="AV23" s="211"/>
      <c r="AW23" s="211"/>
      <c r="AX23" s="211"/>
      <c r="AY23" s="211"/>
      <c r="AZ23" s="211"/>
      <c r="BA23" s="211"/>
      <c r="BB23" s="211"/>
      <c r="BC23" s="211"/>
      <c r="BD23" s="211"/>
      <c r="BE23" s="211"/>
      <c r="BF23" s="211">
        <f t="shared" si="1"/>
        <v>0</v>
      </c>
    </row>
    <row r="24" spans="1:60" x14ac:dyDescent="0.25">
      <c r="BH24" s="65"/>
    </row>
    <row r="25" spans="1:60" x14ac:dyDescent="0.25">
      <c r="BH25" s="65"/>
    </row>
    <row r="26" spans="1:60" x14ac:dyDescent="0.25">
      <c r="BH26" s="65"/>
    </row>
    <row r="27" spans="1:60" x14ac:dyDescent="0.25">
      <c r="BH27" s="65"/>
    </row>
    <row r="28" spans="1:60" x14ac:dyDescent="0.25">
      <c r="BH28" s="65"/>
    </row>
    <row r="29" spans="1:60" x14ac:dyDescent="0.25">
      <c r="BH29" s="65"/>
    </row>
    <row r="30" spans="1:60" x14ac:dyDescent="0.25">
      <c r="BH30" s="65"/>
    </row>
    <row r="31" spans="1:60" x14ac:dyDescent="0.25">
      <c r="BH31" s="65"/>
    </row>
    <row r="32" spans="1:60" x14ac:dyDescent="0.25">
      <c r="BH32" s="65"/>
    </row>
    <row r="33" spans="60:60" x14ac:dyDescent="0.25">
      <c r="BH33" s="65"/>
    </row>
    <row r="34" spans="60:60" x14ac:dyDescent="0.25">
      <c r="BH34" s="65"/>
    </row>
    <row r="35" spans="60:60" x14ac:dyDescent="0.25">
      <c r="BH35" s="65"/>
    </row>
    <row r="36" spans="60:60" x14ac:dyDescent="0.25">
      <c r="BH36" s="65"/>
    </row>
    <row r="37" spans="60:60" x14ac:dyDescent="0.25">
      <c r="BH37" s="65"/>
    </row>
    <row r="38" spans="60:60" x14ac:dyDescent="0.25">
      <c r="BH38" s="65"/>
    </row>
    <row r="39" spans="60:60" x14ac:dyDescent="0.25">
      <c r="BH39" s="65"/>
    </row>
    <row r="40" spans="60:60" x14ac:dyDescent="0.25">
      <c r="BH40" s="65"/>
    </row>
    <row r="41" spans="60:60" x14ac:dyDescent="0.25">
      <c r="BH41" s="65"/>
    </row>
    <row r="42" spans="60:60" x14ac:dyDescent="0.25">
      <c r="BH42" s="65"/>
    </row>
    <row r="43" spans="60:60" x14ac:dyDescent="0.25">
      <c r="BH43" s="65"/>
    </row>
    <row r="44" spans="60:60" x14ac:dyDescent="0.25">
      <c r="BH44" s="65"/>
    </row>
    <row r="45" spans="60:60" x14ac:dyDescent="0.25">
      <c r="BH45" s="65"/>
    </row>
    <row r="46" spans="60:60" x14ac:dyDescent="0.25">
      <c r="BH46" s="65"/>
    </row>
    <row r="47" spans="60:60" x14ac:dyDescent="0.25">
      <c r="BH47" s="65"/>
    </row>
    <row r="48" spans="60:60" x14ac:dyDescent="0.25">
      <c r="BH48" s="65"/>
    </row>
    <row r="49" spans="60:60" x14ac:dyDescent="0.25">
      <c r="BH49" s="65"/>
    </row>
    <row r="50" spans="60:60" x14ac:dyDescent="0.25">
      <c r="BH50" s="65"/>
    </row>
    <row r="51" spans="60:60" x14ac:dyDescent="0.25">
      <c r="BH51" s="65"/>
    </row>
    <row r="52" spans="60:60" x14ac:dyDescent="0.25">
      <c r="BH52" s="65"/>
    </row>
    <row r="53" spans="60:60" x14ac:dyDescent="0.25">
      <c r="BH53" s="65"/>
    </row>
    <row r="54" spans="60:60" x14ac:dyDescent="0.25">
      <c r="BH54" s="65"/>
    </row>
    <row r="55" spans="60:60" x14ac:dyDescent="0.25">
      <c r="BH55" s="65"/>
    </row>
    <row r="56" spans="60:60" x14ac:dyDescent="0.25">
      <c r="BH56" s="65"/>
    </row>
    <row r="57" spans="60:60" x14ac:dyDescent="0.25">
      <c r="BH57" s="65"/>
    </row>
    <row r="58" spans="60:60" x14ac:dyDescent="0.25">
      <c r="BH58" s="65"/>
    </row>
    <row r="59" spans="60:60" x14ac:dyDescent="0.25">
      <c r="BH59" s="65"/>
    </row>
    <row r="60" spans="60:60" x14ac:dyDescent="0.25">
      <c r="BH60" s="65"/>
    </row>
    <row r="61" spans="60:60" x14ac:dyDescent="0.25">
      <c r="BH61" s="65"/>
    </row>
    <row r="62" spans="60:60" x14ac:dyDescent="0.25">
      <c r="BH62" s="65"/>
    </row>
    <row r="63" spans="60:60" x14ac:dyDescent="0.25">
      <c r="BH63" s="65"/>
    </row>
    <row r="64" spans="60:60" x14ac:dyDescent="0.25">
      <c r="BH64" s="65"/>
    </row>
    <row r="65" spans="60:60" x14ac:dyDescent="0.25">
      <c r="BH65" s="65"/>
    </row>
    <row r="66" spans="60:60" x14ac:dyDescent="0.25">
      <c r="BH66" s="65"/>
    </row>
    <row r="67" spans="60:60" x14ac:dyDescent="0.25">
      <c r="BH67" s="65"/>
    </row>
    <row r="68" spans="60:60" x14ac:dyDescent="0.25">
      <c r="BH68" s="65"/>
    </row>
    <row r="69" spans="60:60" x14ac:dyDescent="0.25">
      <c r="BH69" s="65"/>
    </row>
    <row r="70" spans="60:60" x14ac:dyDescent="0.25">
      <c r="BH70" s="65"/>
    </row>
    <row r="71" spans="60:60" x14ac:dyDescent="0.25">
      <c r="BH71" s="65"/>
    </row>
    <row r="72" spans="60:60" x14ac:dyDescent="0.25">
      <c r="BH72" s="65"/>
    </row>
    <row r="73" spans="60:60" x14ac:dyDescent="0.25">
      <c r="BH73" s="65"/>
    </row>
  </sheetData>
  <autoFilter ref="BG4:BH16" xr:uid="{00000000-0009-0000-0000-000005000000}">
    <filterColumn colId="0">
      <customFilters and="1">
        <customFilter operator="notEqual" val=" "/>
      </customFilters>
    </filterColumn>
  </autoFilter>
  <mergeCells count="10">
    <mergeCell ref="BF3:BF4"/>
    <mergeCell ref="E3:E4"/>
    <mergeCell ref="F3:F4"/>
    <mergeCell ref="G3:J3"/>
    <mergeCell ref="K3:AG3"/>
    <mergeCell ref="A3:A4"/>
    <mergeCell ref="B3:B4"/>
    <mergeCell ref="C3:C4"/>
    <mergeCell ref="D3:D4"/>
    <mergeCell ref="AH3:AJ3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6"/>
  <dimension ref="A1:BL78"/>
  <sheetViews>
    <sheetView zoomScaleNormal="100" workbookViewId="0">
      <pane xSplit="6" ySplit="5" topLeftCell="G6" activePane="bottomRight" state="frozen"/>
      <selection activeCell="BI4" sqref="BI4"/>
      <selection pane="topRight" activeCell="BI4" sqref="BI4"/>
      <selection pane="bottomLeft" activeCell="BI4" sqref="BI4"/>
      <selection pane="bottomRight" activeCell="AU3" sqref="AU3"/>
    </sheetView>
  </sheetViews>
  <sheetFormatPr defaultRowHeight="13.2" x14ac:dyDescent="0.25"/>
  <cols>
    <col min="1" max="1" width="3.109375" customWidth="1"/>
    <col min="2" max="2" width="33.5546875" bestFit="1" customWidth="1"/>
    <col min="3" max="3" width="5.33203125" customWidth="1"/>
    <col min="4" max="4" width="3.33203125" customWidth="1"/>
    <col min="5" max="5" width="2.33203125" customWidth="1"/>
    <col min="6" max="6" width="2.6640625" customWidth="1"/>
    <col min="7" max="7" width="3.5546875" customWidth="1"/>
    <col min="8" max="8" width="2.88671875" customWidth="1"/>
    <col min="9" max="9" width="2.33203125" customWidth="1"/>
    <col min="10" max="10" width="2.109375" customWidth="1"/>
    <col min="11" max="13" width="2.5546875" customWidth="1"/>
    <col min="14" max="14" width="2.33203125" customWidth="1"/>
    <col min="15" max="15" width="2.5546875" customWidth="1"/>
    <col min="16" max="16" width="2.33203125" customWidth="1"/>
    <col min="17" max="17" width="2.5546875" customWidth="1"/>
    <col min="18" max="18" width="2.33203125" customWidth="1"/>
    <col min="19" max="22" width="2.5546875" customWidth="1"/>
    <col min="23" max="23" width="2.33203125" customWidth="1"/>
    <col min="24" max="33" width="2.5546875" customWidth="1"/>
    <col min="34" max="34" width="3.88671875" customWidth="1"/>
    <col min="35" max="35" width="3.5546875" customWidth="1"/>
    <col min="36" max="36" width="3.109375" customWidth="1"/>
    <col min="37" max="37" width="4.33203125" customWidth="1"/>
    <col min="38" max="38" width="3.5546875" customWidth="1"/>
    <col min="39" max="39" width="3.88671875" customWidth="1"/>
    <col min="40" max="40" width="2.5546875" customWidth="1"/>
    <col min="41" max="41" width="2.44140625" customWidth="1"/>
    <col min="42" max="42" width="3.33203125" customWidth="1"/>
    <col min="43" max="43" width="3.6640625" customWidth="1"/>
    <col min="44" max="44" width="2.88671875" customWidth="1"/>
    <col min="45" max="46" width="3.6640625" customWidth="1"/>
    <col min="47" max="47" width="3.44140625" customWidth="1"/>
    <col min="48" max="48" width="3.5546875" customWidth="1"/>
    <col min="49" max="49" width="3.44140625" customWidth="1"/>
    <col min="50" max="57" width="4" customWidth="1"/>
    <col min="58" max="58" width="6.5546875" customWidth="1"/>
    <col min="59" max="59" width="5.5546875" customWidth="1"/>
    <col min="60" max="60" width="5.109375" customWidth="1"/>
    <col min="61" max="61" width="4.6640625" customWidth="1"/>
    <col min="62" max="62" width="7.44140625" customWidth="1"/>
    <col min="64" max="64" width="6.44140625" style="65" customWidth="1"/>
  </cols>
  <sheetData>
    <row r="1" spans="1:64" s="25" customFormat="1" x14ac:dyDescent="0.25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  <c r="BL1" s="145"/>
    </row>
    <row r="2" spans="1:64" ht="15" customHeight="1" thickBot="1" x14ac:dyDescent="0.4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G2" s="9" t="s">
        <v>64</v>
      </c>
      <c r="BH2" s="9" t="s">
        <v>65</v>
      </c>
      <c r="BI2" s="9" t="s">
        <v>66</v>
      </c>
      <c r="BL2" s="148" t="s">
        <v>65</v>
      </c>
    </row>
    <row r="3" spans="1:64" ht="51" customHeight="1" thickBot="1" x14ac:dyDescent="0.3">
      <c r="A3" s="318" t="s">
        <v>1</v>
      </c>
      <c r="B3" s="320" t="s">
        <v>2</v>
      </c>
      <c r="C3" s="322" t="s">
        <v>3</v>
      </c>
      <c r="D3" s="304" t="s">
        <v>77</v>
      </c>
      <c r="E3" s="304" t="s">
        <v>40</v>
      </c>
      <c r="F3" s="324" t="s">
        <v>4</v>
      </c>
      <c r="G3" s="316" t="s">
        <v>5</v>
      </c>
      <c r="H3" s="316"/>
      <c r="I3" s="316"/>
      <c r="J3" s="317"/>
      <c r="K3" s="292" t="s">
        <v>46</v>
      </c>
      <c r="L3" s="293"/>
      <c r="M3" s="293"/>
      <c r="N3" s="315"/>
      <c r="O3" s="315"/>
      <c r="P3" s="315"/>
      <c r="Q3" s="315"/>
      <c r="R3" s="315"/>
      <c r="S3" s="315"/>
      <c r="T3" s="315"/>
      <c r="U3" s="315"/>
      <c r="V3" s="315"/>
      <c r="W3" s="315"/>
      <c r="X3" s="315"/>
      <c r="Y3" s="315"/>
      <c r="Z3" s="315"/>
      <c r="AA3" s="315"/>
      <c r="AB3" s="315"/>
      <c r="AC3" s="315"/>
      <c r="AD3" s="315"/>
      <c r="AE3" s="315"/>
      <c r="AF3" s="315"/>
      <c r="AG3" s="315"/>
      <c r="AH3" s="314" t="s">
        <v>56</v>
      </c>
      <c r="AI3" s="314"/>
      <c r="AJ3" s="314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39" t="s">
        <v>62</v>
      </c>
      <c r="BF3" s="311" t="s">
        <v>10</v>
      </c>
      <c r="BG3" s="3">
        <v>1</v>
      </c>
      <c r="BH3" s="3">
        <v>0.5</v>
      </c>
      <c r="BI3" s="3">
        <v>0.5</v>
      </c>
      <c r="BJ3" s="8"/>
      <c r="BL3" s="149">
        <v>0.5</v>
      </c>
    </row>
    <row r="4" spans="1:64" ht="92.4" x14ac:dyDescent="0.25">
      <c r="A4" s="319"/>
      <c r="B4" s="321"/>
      <c r="C4" s="323"/>
      <c r="D4" s="313"/>
      <c r="E4" s="313"/>
      <c r="F4" s="325"/>
      <c r="G4" s="14" t="s">
        <v>11</v>
      </c>
      <c r="H4" s="14" t="s">
        <v>12</v>
      </c>
      <c r="I4" s="14" t="s">
        <v>13</v>
      </c>
      <c r="J4" s="16" t="s">
        <v>14</v>
      </c>
      <c r="K4" s="111" t="s">
        <v>43</v>
      </c>
      <c r="L4" s="110" t="s">
        <v>44</v>
      </c>
      <c r="M4" s="118" t="s">
        <v>45</v>
      </c>
      <c r="N4" s="7" t="s">
        <v>47</v>
      </c>
      <c r="O4" s="7" t="s">
        <v>48</v>
      </c>
      <c r="P4" s="7" t="s">
        <v>49</v>
      </c>
      <c r="Q4" s="7" t="s">
        <v>7</v>
      </c>
      <c r="R4" s="7" t="s">
        <v>22</v>
      </c>
      <c r="S4" s="7" t="s">
        <v>50</v>
      </c>
      <c r="T4" s="7" t="s">
        <v>51</v>
      </c>
      <c r="U4" s="7" t="s">
        <v>52</v>
      </c>
      <c r="V4" s="7" t="s">
        <v>53</v>
      </c>
      <c r="W4" s="7" t="s">
        <v>29</v>
      </c>
      <c r="X4" s="7" t="s">
        <v>9</v>
      </c>
      <c r="Y4" s="7" t="s">
        <v>54</v>
      </c>
      <c r="Z4" s="7" t="s">
        <v>55</v>
      </c>
      <c r="AA4" s="7" t="s">
        <v>34</v>
      </c>
      <c r="AB4" s="7" t="s">
        <v>35</v>
      </c>
      <c r="AC4" s="7" t="s">
        <v>36</v>
      </c>
      <c r="AD4" s="7" t="s">
        <v>37</v>
      </c>
      <c r="AE4" s="7" t="s">
        <v>59</v>
      </c>
      <c r="AF4" s="7" t="s">
        <v>60</v>
      </c>
      <c r="AG4" s="15" t="s">
        <v>62</v>
      </c>
      <c r="AH4" s="14" t="s">
        <v>43</v>
      </c>
      <c r="AI4" s="14" t="s">
        <v>44</v>
      </c>
      <c r="AJ4" s="14" t="s">
        <v>45</v>
      </c>
      <c r="AK4" s="14" t="s">
        <v>42</v>
      </c>
      <c r="AL4" s="14" t="s">
        <v>15</v>
      </c>
      <c r="AM4" s="14" t="s">
        <v>16</v>
      </c>
      <c r="AN4" s="14" t="s">
        <v>15</v>
      </c>
      <c r="AO4" s="14" t="s">
        <v>17</v>
      </c>
      <c r="AP4" s="14" t="s">
        <v>18</v>
      </c>
      <c r="AQ4" s="14" t="s">
        <v>23</v>
      </c>
      <c r="AR4" s="14" t="s">
        <v>19</v>
      </c>
      <c r="AS4" s="14" t="s">
        <v>25</v>
      </c>
      <c r="AT4" s="14" t="s">
        <v>92</v>
      </c>
      <c r="AU4" s="14" t="s">
        <v>31</v>
      </c>
      <c r="AV4" s="14" t="s">
        <v>32</v>
      </c>
      <c r="AW4" s="14" t="s">
        <v>91</v>
      </c>
      <c r="AX4" s="14" t="s">
        <v>94</v>
      </c>
      <c r="AY4" s="14" t="s">
        <v>20</v>
      </c>
      <c r="AZ4" s="14" t="s">
        <v>26</v>
      </c>
      <c r="BA4" s="14" t="s">
        <v>20</v>
      </c>
      <c r="BB4" s="14" t="s">
        <v>38</v>
      </c>
      <c r="BC4" s="14" t="s">
        <v>58</v>
      </c>
      <c r="BD4" s="14" t="s">
        <v>61</v>
      </c>
      <c r="BE4" s="14" t="s">
        <v>63</v>
      </c>
      <c r="BF4" s="312"/>
      <c r="BG4" s="13" t="s">
        <v>76</v>
      </c>
      <c r="BH4" s="14" t="s">
        <v>104</v>
      </c>
      <c r="BI4" s="14" t="s">
        <v>100</v>
      </c>
      <c r="BJ4" s="16" t="s">
        <v>21</v>
      </c>
      <c r="BK4" s="144" t="s">
        <v>72</v>
      </c>
      <c r="BL4" s="14" t="s">
        <v>76</v>
      </c>
    </row>
    <row r="5" spans="1:64" s="65" customFormat="1" x14ac:dyDescent="0.25">
      <c r="A5" s="231"/>
      <c r="B5" s="232" t="s">
        <v>78</v>
      </c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0"/>
      <c r="T5" s="200"/>
      <c r="U5" s="200"/>
      <c r="V5" s="200"/>
      <c r="W5" s="200"/>
      <c r="X5" s="200"/>
      <c r="Y5" s="200"/>
      <c r="Z5" s="200"/>
      <c r="AA5" s="200"/>
      <c r="AB5" s="200"/>
      <c r="AC5" s="200"/>
      <c r="AD5" s="200"/>
      <c r="AE5" s="200"/>
      <c r="AF5" s="200"/>
      <c r="AG5" s="200"/>
      <c r="AH5" s="200"/>
      <c r="AI5" s="200"/>
      <c r="AJ5" s="200"/>
      <c r="AK5" s="200"/>
      <c r="AL5" s="200"/>
      <c r="AM5" s="200"/>
      <c r="AN5" s="200"/>
      <c r="AO5" s="200"/>
      <c r="AP5" s="200"/>
      <c r="AQ5" s="200"/>
      <c r="AR5" s="200"/>
      <c r="AS5" s="200"/>
      <c r="AT5" s="200"/>
      <c r="AU5" s="200"/>
      <c r="AV5" s="200"/>
      <c r="AW5" s="200"/>
      <c r="AX5" s="200"/>
      <c r="AY5" s="200"/>
      <c r="AZ5" s="200"/>
      <c r="BA5" s="200"/>
      <c r="BB5" s="200"/>
      <c r="BC5" s="200"/>
      <c r="BD5" s="200"/>
      <c r="BE5" s="200"/>
      <c r="BF5" s="241">
        <f>SUM(BF6:BF6)</f>
        <v>0</v>
      </c>
      <c r="BG5" s="242">
        <f>SUM(BG6:BG6)</f>
        <v>0</v>
      </c>
      <c r="BH5" s="242" t="e">
        <f>SUM(#REF!)</f>
        <v>#REF!</v>
      </c>
      <c r="BI5" s="242" t="e">
        <f>SUM(#REF!)</f>
        <v>#REF!</v>
      </c>
      <c r="BJ5" s="243">
        <f>SUM(BJ6:BJ6)</f>
        <v>0</v>
      </c>
      <c r="BK5" s="200"/>
      <c r="BL5" s="23"/>
    </row>
    <row r="6" spans="1:64" s="207" customFormat="1" x14ac:dyDescent="0.25">
      <c r="A6" s="43"/>
      <c r="B6" s="228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/>
      <c r="AI6" s="88"/>
      <c r="AJ6" s="88"/>
      <c r="AK6" s="88">
        <f>IF(E6="з",0.15,0.05)*IF(AH6&lt;&gt;"",AH6,0)+2*IF(N6=1,1,0)</f>
        <v>0</v>
      </c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244"/>
      <c r="BG6" s="257"/>
      <c r="BH6" s="258"/>
      <c r="BI6" s="259"/>
      <c r="BJ6" s="257"/>
      <c r="BL6" s="260"/>
    </row>
    <row r="7" spans="1:64" s="207" customFormat="1" x14ac:dyDescent="0.25">
      <c r="A7" s="211"/>
      <c r="B7" s="211"/>
      <c r="C7" s="211"/>
      <c r="D7" s="211"/>
      <c r="E7" s="211"/>
      <c r="F7" s="211"/>
      <c r="G7" s="211"/>
      <c r="H7" s="211"/>
      <c r="I7" s="211"/>
      <c r="J7" s="211"/>
      <c r="K7" s="211"/>
      <c r="L7" s="211"/>
      <c r="M7" s="211"/>
      <c r="N7" s="211"/>
      <c r="O7" s="211"/>
      <c r="P7" s="211"/>
      <c r="Q7" s="211"/>
      <c r="R7" s="211"/>
      <c r="S7" s="211"/>
      <c r="T7" s="211"/>
      <c r="U7" s="211"/>
      <c r="V7" s="211"/>
      <c r="W7" s="211"/>
      <c r="X7" s="211"/>
      <c r="Y7" s="211"/>
      <c r="Z7" s="211"/>
      <c r="AA7" s="211"/>
      <c r="AB7" s="211"/>
      <c r="AC7" s="211"/>
      <c r="AD7" s="211"/>
      <c r="AE7" s="211"/>
      <c r="AF7" s="211"/>
      <c r="AG7" s="211"/>
      <c r="AH7" s="211"/>
      <c r="AI7" s="211"/>
      <c r="AJ7" s="211"/>
      <c r="AK7" s="88">
        <f t="shared" ref="AK7:AK18" si="0">IF(E7="з",0.15,0.05)*IF(AH7&lt;&gt;"",AH7,0)+2*IF(N7=1,1,0)</f>
        <v>0</v>
      </c>
      <c r="AL7" s="211"/>
      <c r="AM7" s="211"/>
      <c r="AN7" s="211"/>
      <c r="AO7" s="211"/>
      <c r="AP7" s="211"/>
      <c r="AQ7" s="211"/>
      <c r="AR7" s="211"/>
      <c r="AS7" s="211"/>
      <c r="AT7" s="211"/>
      <c r="AU7" s="211"/>
      <c r="AV7" s="211"/>
      <c r="AW7" s="211"/>
      <c r="AX7" s="211"/>
      <c r="AY7" s="211"/>
      <c r="AZ7" s="211"/>
      <c r="BA7" s="211"/>
      <c r="BB7" s="211"/>
      <c r="BC7" s="211"/>
      <c r="BD7" s="211"/>
      <c r="BE7" s="211"/>
      <c r="BF7" s="211"/>
      <c r="BL7" s="260"/>
    </row>
    <row r="8" spans="1:64" s="207" customFormat="1" x14ac:dyDescent="0.25">
      <c r="A8" s="211"/>
      <c r="B8" s="211"/>
      <c r="C8" s="211"/>
      <c r="D8" s="211"/>
      <c r="E8" s="211"/>
      <c r="F8" s="211"/>
      <c r="G8" s="211"/>
      <c r="H8" s="211"/>
      <c r="I8" s="211"/>
      <c r="J8" s="211"/>
      <c r="K8" s="211"/>
      <c r="L8" s="211"/>
      <c r="M8" s="211"/>
      <c r="N8" s="211"/>
      <c r="O8" s="211"/>
      <c r="P8" s="211"/>
      <c r="Q8" s="211"/>
      <c r="R8" s="211"/>
      <c r="S8" s="211"/>
      <c r="T8" s="211"/>
      <c r="U8" s="211"/>
      <c r="V8" s="211"/>
      <c r="W8" s="211"/>
      <c r="X8" s="211"/>
      <c r="Y8" s="211"/>
      <c r="Z8" s="211"/>
      <c r="AA8" s="211"/>
      <c r="AB8" s="211"/>
      <c r="AC8" s="211"/>
      <c r="AD8" s="211"/>
      <c r="AE8" s="211"/>
      <c r="AF8" s="211"/>
      <c r="AG8" s="211"/>
      <c r="AH8" s="211"/>
      <c r="AI8" s="211"/>
      <c r="AJ8" s="211"/>
      <c r="AK8" s="88">
        <f t="shared" si="0"/>
        <v>0</v>
      </c>
      <c r="AL8" s="211"/>
      <c r="AM8" s="211"/>
      <c r="AN8" s="211"/>
      <c r="AO8" s="211"/>
      <c r="AP8" s="211"/>
      <c r="AQ8" s="211"/>
      <c r="AR8" s="211"/>
      <c r="AS8" s="211"/>
      <c r="AT8" s="211"/>
      <c r="AU8" s="211"/>
      <c r="AV8" s="211"/>
      <c r="AW8" s="211"/>
      <c r="AX8" s="211"/>
      <c r="AY8" s="211"/>
      <c r="AZ8" s="211"/>
      <c r="BA8" s="211"/>
      <c r="BB8" s="211"/>
      <c r="BC8" s="211"/>
      <c r="BD8" s="211"/>
      <c r="BE8" s="211"/>
      <c r="BF8" s="211"/>
      <c r="BL8" s="260"/>
    </row>
    <row r="9" spans="1:64" s="207" customFormat="1" x14ac:dyDescent="0.25">
      <c r="A9" s="211"/>
      <c r="B9" s="211"/>
      <c r="C9" s="211"/>
      <c r="D9" s="211"/>
      <c r="E9" s="211"/>
      <c r="F9" s="211"/>
      <c r="G9" s="211"/>
      <c r="H9" s="211"/>
      <c r="I9" s="211"/>
      <c r="J9" s="211"/>
      <c r="K9" s="211"/>
      <c r="L9" s="211"/>
      <c r="M9" s="211"/>
      <c r="N9" s="211"/>
      <c r="O9" s="211"/>
      <c r="P9" s="211"/>
      <c r="Q9" s="211"/>
      <c r="R9" s="211"/>
      <c r="S9" s="211"/>
      <c r="T9" s="211"/>
      <c r="U9" s="211"/>
      <c r="V9" s="211"/>
      <c r="W9" s="211"/>
      <c r="X9" s="211"/>
      <c r="Y9" s="211"/>
      <c r="Z9" s="211"/>
      <c r="AA9" s="211"/>
      <c r="AB9" s="211"/>
      <c r="AC9" s="211"/>
      <c r="AD9" s="211"/>
      <c r="AE9" s="211"/>
      <c r="AF9" s="211"/>
      <c r="AG9" s="211"/>
      <c r="AH9" s="211"/>
      <c r="AI9" s="211"/>
      <c r="AJ9" s="211"/>
      <c r="AK9" s="88">
        <f t="shared" si="0"/>
        <v>0</v>
      </c>
      <c r="AL9" s="211"/>
      <c r="AM9" s="211"/>
      <c r="AN9" s="211"/>
      <c r="AO9" s="211"/>
      <c r="AP9" s="211"/>
      <c r="AQ9" s="211"/>
      <c r="AR9" s="211"/>
      <c r="AS9" s="211"/>
      <c r="AT9" s="211"/>
      <c r="AU9" s="211"/>
      <c r="AV9" s="211"/>
      <c r="AW9" s="211"/>
      <c r="AX9" s="211"/>
      <c r="AY9" s="211"/>
      <c r="AZ9" s="211"/>
      <c r="BA9" s="211"/>
      <c r="BB9" s="211"/>
      <c r="BC9" s="211"/>
      <c r="BD9" s="211"/>
      <c r="BE9" s="211"/>
      <c r="BF9" s="211"/>
      <c r="BL9" s="260"/>
    </row>
    <row r="10" spans="1:64" s="207" customFormat="1" x14ac:dyDescent="0.25">
      <c r="A10" s="211"/>
      <c r="B10" s="211"/>
      <c r="C10" s="211"/>
      <c r="D10" s="211"/>
      <c r="E10" s="211"/>
      <c r="F10" s="211"/>
      <c r="G10" s="211"/>
      <c r="H10" s="211"/>
      <c r="I10" s="211"/>
      <c r="J10" s="211"/>
      <c r="K10" s="211"/>
      <c r="L10" s="211"/>
      <c r="M10" s="211"/>
      <c r="N10" s="211"/>
      <c r="O10" s="211"/>
      <c r="P10" s="211"/>
      <c r="Q10" s="211"/>
      <c r="R10" s="211"/>
      <c r="S10" s="211"/>
      <c r="T10" s="211"/>
      <c r="U10" s="211"/>
      <c r="V10" s="211"/>
      <c r="W10" s="211"/>
      <c r="X10" s="211"/>
      <c r="Y10" s="211"/>
      <c r="Z10" s="211"/>
      <c r="AA10" s="211"/>
      <c r="AB10" s="211"/>
      <c r="AC10" s="211"/>
      <c r="AD10" s="211"/>
      <c r="AE10" s="211"/>
      <c r="AF10" s="211"/>
      <c r="AG10" s="211"/>
      <c r="AH10" s="211"/>
      <c r="AI10" s="211"/>
      <c r="AJ10" s="211"/>
      <c r="AK10" s="88">
        <f t="shared" si="0"/>
        <v>0</v>
      </c>
      <c r="AL10" s="211"/>
      <c r="AM10" s="211"/>
      <c r="AN10" s="211"/>
      <c r="AO10" s="211"/>
      <c r="AP10" s="211"/>
      <c r="AQ10" s="211"/>
      <c r="AR10" s="211"/>
      <c r="AS10" s="211"/>
      <c r="AT10" s="211"/>
      <c r="AU10" s="211"/>
      <c r="AV10" s="211"/>
      <c r="AW10" s="211"/>
      <c r="AX10" s="211"/>
      <c r="AY10" s="211"/>
      <c r="AZ10" s="211"/>
      <c r="BA10" s="211"/>
      <c r="BB10" s="211"/>
      <c r="BC10" s="211"/>
      <c r="BD10" s="211"/>
      <c r="BE10" s="211"/>
      <c r="BF10" s="211"/>
      <c r="BL10" s="260"/>
    </row>
    <row r="11" spans="1:64" s="207" customFormat="1" x14ac:dyDescent="0.25">
      <c r="A11" s="211"/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88">
        <f t="shared" si="0"/>
        <v>0</v>
      </c>
      <c r="AL11" s="211"/>
      <c r="AM11" s="211"/>
      <c r="AN11" s="211"/>
      <c r="AO11" s="211"/>
      <c r="AP11" s="211"/>
      <c r="AQ11" s="211"/>
      <c r="AR11" s="211"/>
      <c r="AS11" s="211"/>
      <c r="AT11" s="211"/>
      <c r="AU11" s="211"/>
      <c r="AV11" s="211"/>
      <c r="AW11" s="211"/>
      <c r="AX11" s="211"/>
      <c r="AY11" s="211"/>
      <c r="AZ11" s="211"/>
      <c r="BA11" s="211"/>
      <c r="BB11" s="211"/>
      <c r="BC11" s="211"/>
      <c r="BD11" s="211"/>
      <c r="BE11" s="211"/>
      <c r="BF11" s="211"/>
      <c r="BL11" s="260"/>
    </row>
    <row r="12" spans="1:64" s="207" customFormat="1" x14ac:dyDescent="0.25">
      <c r="A12" s="211"/>
      <c r="B12" s="211"/>
      <c r="C12" s="211"/>
      <c r="D12" s="211"/>
      <c r="E12" s="211"/>
      <c r="F12" s="211"/>
      <c r="G12" s="211"/>
      <c r="H12" s="211"/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  <c r="AA12" s="211"/>
      <c r="AB12" s="211"/>
      <c r="AC12" s="211"/>
      <c r="AD12" s="211"/>
      <c r="AE12" s="211"/>
      <c r="AF12" s="211"/>
      <c r="AG12" s="211"/>
      <c r="AH12" s="211"/>
      <c r="AI12" s="211"/>
      <c r="AJ12" s="211"/>
      <c r="AK12" s="88">
        <f t="shared" si="0"/>
        <v>0</v>
      </c>
      <c r="AL12" s="211"/>
      <c r="AM12" s="211"/>
      <c r="AN12" s="211"/>
      <c r="AO12" s="211"/>
      <c r="AP12" s="211"/>
      <c r="AQ12" s="211"/>
      <c r="AR12" s="211"/>
      <c r="AS12" s="211"/>
      <c r="AT12" s="211"/>
      <c r="AU12" s="211"/>
      <c r="AV12" s="211"/>
      <c r="AW12" s="211"/>
      <c r="AX12" s="211"/>
      <c r="AY12" s="211"/>
      <c r="AZ12" s="211"/>
      <c r="BA12" s="211"/>
      <c r="BB12" s="211"/>
      <c r="BC12" s="211"/>
      <c r="BD12" s="211"/>
      <c r="BE12" s="211"/>
      <c r="BF12" s="211"/>
      <c r="BL12" s="260"/>
    </row>
    <row r="13" spans="1:64" s="207" customFormat="1" x14ac:dyDescent="0.25">
      <c r="A13" s="211"/>
      <c r="B13" s="211"/>
      <c r="C13" s="211"/>
      <c r="D13" s="211"/>
      <c r="E13" s="211"/>
      <c r="F13" s="211"/>
      <c r="G13" s="211"/>
      <c r="H13" s="211"/>
      <c r="I13" s="211"/>
      <c r="J13" s="211"/>
      <c r="K13" s="211"/>
      <c r="L13" s="211"/>
      <c r="M13" s="211"/>
      <c r="N13" s="211"/>
      <c r="O13" s="211"/>
      <c r="P13" s="211"/>
      <c r="Q13" s="211"/>
      <c r="R13" s="211"/>
      <c r="S13" s="211"/>
      <c r="T13" s="211"/>
      <c r="U13" s="211"/>
      <c r="V13" s="211"/>
      <c r="W13" s="211"/>
      <c r="X13" s="211"/>
      <c r="Y13" s="211"/>
      <c r="Z13" s="211"/>
      <c r="AA13" s="211"/>
      <c r="AB13" s="211"/>
      <c r="AC13" s="211"/>
      <c r="AD13" s="211"/>
      <c r="AE13" s="211"/>
      <c r="AF13" s="211"/>
      <c r="AG13" s="211"/>
      <c r="AH13" s="211"/>
      <c r="AI13" s="211"/>
      <c r="AJ13" s="211"/>
      <c r="AK13" s="88">
        <f t="shared" si="0"/>
        <v>0</v>
      </c>
      <c r="AL13" s="211"/>
      <c r="AM13" s="211"/>
      <c r="AN13" s="211"/>
      <c r="AO13" s="211"/>
      <c r="AP13" s="211"/>
      <c r="AQ13" s="211"/>
      <c r="AR13" s="211"/>
      <c r="AS13" s="211"/>
      <c r="AT13" s="211"/>
      <c r="AU13" s="211"/>
      <c r="AV13" s="211"/>
      <c r="AW13" s="211"/>
      <c r="AX13" s="211"/>
      <c r="AY13" s="211"/>
      <c r="AZ13" s="211"/>
      <c r="BA13" s="211"/>
      <c r="BB13" s="211"/>
      <c r="BC13" s="211"/>
      <c r="BD13" s="211"/>
      <c r="BE13" s="211"/>
      <c r="BF13" s="211"/>
      <c r="BL13" s="260"/>
    </row>
    <row r="14" spans="1:64" s="207" customFormat="1" x14ac:dyDescent="0.25">
      <c r="A14" s="211"/>
      <c r="B14" s="211"/>
      <c r="C14" s="211"/>
      <c r="D14" s="211"/>
      <c r="E14" s="211"/>
      <c r="F14" s="211"/>
      <c r="G14" s="211"/>
      <c r="H14" s="211"/>
      <c r="I14" s="211"/>
      <c r="J14" s="211"/>
      <c r="K14" s="211"/>
      <c r="L14" s="211"/>
      <c r="M14" s="211"/>
      <c r="N14" s="211"/>
      <c r="O14" s="211"/>
      <c r="P14" s="211"/>
      <c r="Q14" s="211"/>
      <c r="R14" s="211"/>
      <c r="S14" s="211"/>
      <c r="T14" s="211"/>
      <c r="U14" s="211"/>
      <c r="V14" s="211"/>
      <c r="W14" s="211"/>
      <c r="X14" s="211"/>
      <c r="Y14" s="211"/>
      <c r="Z14" s="211"/>
      <c r="AA14" s="211"/>
      <c r="AB14" s="211"/>
      <c r="AC14" s="211"/>
      <c r="AD14" s="211"/>
      <c r="AE14" s="211"/>
      <c r="AF14" s="211"/>
      <c r="AG14" s="211"/>
      <c r="AH14" s="211"/>
      <c r="AI14" s="211"/>
      <c r="AJ14" s="211"/>
      <c r="AK14" s="88">
        <f t="shared" si="0"/>
        <v>0</v>
      </c>
      <c r="AL14" s="211"/>
      <c r="AM14" s="211"/>
      <c r="AN14" s="211"/>
      <c r="AO14" s="211"/>
      <c r="AP14" s="211"/>
      <c r="AQ14" s="211"/>
      <c r="AR14" s="211"/>
      <c r="AS14" s="211"/>
      <c r="AT14" s="211"/>
      <c r="AU14" s="211"/>
      <c r="AV14" s="211"/>
      <c r="AW14" s="211"/>
      <c r="AX14" s="211"/>
      <c r="AY14" s="211"/>
      <c r="AZ14" s="211"/>
      <c r="BA14" s="211"/>
      <c r="BB14" s="211"/>
      <c r="BC14" s="211"/>
      <c r="BD14" s="211"/>
      <c r="BE14" s="211"/>
      <c r="BF14" s="211"/>
      <c r="BL14" s="260"/>
    </row>
    <row r="15" spans="1:64" s="207" customFormat="1" x14ac:dyDescent="0.25">
      <c r="A15" s="211"/>
      <c r="B15" s="211"/>
      <c r="C15" s="211"/>
      <c r="D15" s="211"/>
      <c r="E15" s="211"/>
      <c r="F15" s="211"/>
      <c r="G15" s="211"/>
      <c r="H15" s="211"/>
      <c r="I15" s="211"/>
      <c r="J15" s="211"/>
      <c r="K15" s="211"/>
      <c r="L15" s="211"/>
      <c r="M15" s="211"/>
      <c r="N15" s="211"/>
      <c r="O15" s="211"/>
      <c r="P15" s="211"/>
      <c r="Q15" s="211"/>
      <c r="R15" s="211"/>
      <c r="S15" s="211"/>
      <c r="T15" s="211"/>
      <c r="U15" s="211"/>
      <c r="V15" s="211"/>
      <c r="W15" s="211"/>
      <c r="X15" s="211"/>
      <c r="Y15" s="211"/>
      <c r="Z15" s="211"/>
      <c r="AA15" s="211"/>
      <c r="AB15" s="211"/>
      <c r="AC15" s="211"/>
      <c r="AD15" s="211"/>
      <c r="AE15" s="211"/>
      <c r="AF15" s="211"/>
      <c r="AG15" s="211"/>
      <c r="AH15" s="211"/>
      <c r="AI15" s="211"/>
      <c r="AJ15" s="211"/>
      <c r="AK15" s="88">
        <f t="shared" si="0"/>
        <v>0</v>
      </c>
      <c r="AL15" s="211"/>
      <c r="AM15" s="211"/>
      <c r="AN15" s="211"/>
      <c r="AO15" s="211"/>
      <c r="AP15" s="211"/>
      <c r="AQ15" s="211"/>
      <c r="AR15" s="211"/>
      <c r="AS15" s="211"/>
      <c r="AT15" s="211"/>
      <c r="AU15" s="211"/>
      <c r="AV15" s="211"/>
      <c r="AW15" s="211"/>
      <c r="AX15" s="211"/>
      <c r="AY15" s="211"/>
      <c r="AZ15" s="211"/>
      <c r="BA15" s="211"/>
      <c r="BB15" s="211"/>
      <c r="BC15" s="211"/>
      <c r="BD15" s="211"/>
      <c r="BE15" s="211"/>
      <c r="BF15" s="211"/>
      <c r="BL15" s="260"/>
    </row>
    <row r="16" spans="1:64" s="207" customFormat="1" x14ac:dyDescent="0.25">
      <c r="A16" s="211"/>
      <c r="B16" s="211"/>
      <c r="C16" s="211"/>
      <c r="D16" s="211"/>
      <c r="E16" s="211"/>
      <c r="F16" s="211"/>
      <c r="G16" s="211"/>
      <c r="H16" s="211"/>
      <c r="I16" s="211"/>
      <c r="J16" s="211"/>
      <c r="K16" s="211"/>
      <c r="L16" s="211"/>
      <c r="M16" s="211"/>
      <c r="N16" s="211"/>
      <c r="O16" s="211"/>
      <c r="P16" s="211"/>
      <c r="Q16" s="211"/>
      <c r="R16" s="211"/>
      <c r="S16" s="211"/>
      <c r="T16" s="211"/>
      <c r="U16" s="211"/>
      <c r="V16" s="211"/>
      <c r="W16" s="211"/>
      <c r="X16" s="211"/>
      <c r="Y16" s="211"/>
      <c r="Z16" s="211"/>
      <c r="AA16" s="211"/>
      <c r="AB16" s="211"/>
      <c r="AC16" s="211"/>
      <c r="AD16" s="211"/>
      <c r="AE16" s="211"/>
      <c r="AF16" s="211"/>
      <c r="AG16" s="211"/>
      <c r="AH16" s="211"/>
      <c r="AI16" s="211"/>
      <c r="AJ16" s="211"/>
      <c r="AK16" s="88">
        <f t="shared" si="0"/>
        <v>0</v>
      </c>
      <c r="AL16" s="211"/>
      <c r="AM16" s="211"/>
      <c r="AN16" s="211"/>
      <c r="AO16" s="211"/>
      <c r="AP16" s="211"/>
      <c r="AQ16" s="211"/>
      <c r="AR16" s="211"/>
      <c r="AS16" s="211"/>
      <c r="AT16" s="211"/>
      <c r="AU16" s="211"/>
      <c r="AV16" s="211"/>
      <c r="AW16" s="211"/>
      <c r="AX16" s="211"/>
      <c r="AY16" s="211"/>
      <c r="AZ16" s="211"/>
      <c r="BA16" s="211"/>
      <c r="BB16" s="211"/>
      <c r="BC16" s="211"/>
      <c r="BD16" s="211"/>
      <c r="BE16" s="211"/>
      <c r="BF16" s="211"/>
      <c r="BL16" s="260"/>
    </row>
    <row r="17" spans="1:64" s="207" customFormat="1" x14ac:dyDescent="0.25">
      <c r="A17" s="211"/>
      <c r="B17" s="211"/>
      <c r="C17" s="211"/>
      <c r="D17" s="211"/>
      <c r="E17" s="211"/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1"/>
      <c r="T17" s="211"/>
      <c r="U17" s="211"/>
      <c r="V17" s="211"/>
      <c r="W17" s="211"/>
      <c r="X17" s="211"/>
      <c r="Y17" s="211"/>
      <c r="Z17" s="211"/>
      <c r="AA17" s="211"/>
      <c r="AB17" s="211"/>
      <c r="AC17" s="211"/>
      <c r="AD17" s="211"/>
      <c r="AE17" s="211"/>
      <c r="AF17" s="211"/>
      <c r="AG17" s="211"/>
      <c r="AH17" s="211"/>
      <c r="AI17" s="211"/>
      <c r="AJ17" s="211"/>
      <c r="AK17" s="88">
        <f t="shared" si="0"/>
        <v>0</v>
      </c>
      <c r="AL17" s="211"/>
      <c r="AM17" s="211"/>
      <c r="AN17" s="211"/>
      <c r="AO17" s="211"/>
      <c r="AP17" s="211"/>
      <c r="AQ17" s="211"/>
      <c r="AR17" s="211"/>
      <c r="AS17" s="211"/>
      <c r="AT17" s="211"/>
      <c r="AU17" s="211"/>
      <c r="AV17" s="211"/>
      <c r="AW17" s="211"/>
      <c r="AX17" s="211"/>
      <c r="AY17" s="211"/>
      <c r="AZ17" s="211"/>
      <c r="BA17" s="211"/>
      <c r="BB17" s="211"/>
      <c r="BC17" s="211"/>
      <c r="BD17" s="211"/>
      <c r="BE17" s="211"/>
      <c r="BF17" s="211"/>
      <c r="BL17" s="260"/>
    </row>
    <row r="18" spans="1:64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88">
        <f t="shared" si="0"/>
        <v>0</v>
      </c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L18" s="143"/>
    </row>
    <row r="19" spans="1:64" x14ac:dyDescent="0.25">
      <c r="BL19" s="143"/>
    </row>
    <row r="20" spans="1:64" x14ac:dyDescent="0.25">
      <c r="BL20" s="143"/>
    </row>
    <row r="21" spans="1:64" x14ac:dyDescent="0.25">
      <c r="BL21" s="143">
        <v>40</v>
      </c>
    </row>
    <row r="22" spans="1:64" x14ac:dyDescent="0.25">
      <c r="BL22" s="143"/>
    </row>
    <row r="23" spans="1:64" x14ac:dyDescent="0.25">
      <c r="BL23" s="143"/>
    </row>
    <row r="24" spans="1:64" x14ac:dyDescent="0.25">
      <c r="BL24" s="143"/>
    </row>
    <row r="25" spans="1:64" x14ac:dyDescent="0.25">
      <c r="BL25" s="143"/>
    </row>
    <row r="26" spans="1:64" x14ac:dyDescent="0.25">
      <c r="BL26" s="143"/>
    </row>
    <row r="27" spans="1:64" x14ac:dyDescent="0.25">
      <c r="BL27" s="143"/>
    </row>
    <row r="28" spans="1:64" x14ac:dyDescent="0.25">
      <c r="BL28" s="143"/>
    </row>
    <row r="29" spans="1:64" x14ac:dyDescent="0.25">
      <c r="BL29" s="143">
        <f>BI29</f>
        <v>0</v>
      </c>
    </row>
    <row r="30" spans="1:64" x14ac:dyDescent="0.25">
      <c r="BL30" s="143"/>
    </row>
    <row r="31" spans="1:64" x14ac:dyDescent="0.25">
      <c r="BL31" s="143"/>
    </row>
    <row r="32" spans="1:64" x14ac:dyDescent="0.25">
      <c r="BL32" s="143">
        <v>40</v>
      </c>
    </row>
    <row r="33" spans="64:64" x14ac:dyDescent="0.25">
      <c r="BL33" s="143">
        <f>BI33</f>
        <v>0</v>
      </c>
    </row>
    <row r="34" spans="64:64" x14ac:dyDescent="0.25">
      <c r="BL34" s="143"/>
    </row>
    <row r="35" spans="64:64" x14ac:dyDescent="0.25">
      <c r="BL35" s="143"/>
    </row>
    <row r="36" spans="64:64" x14ac:dyDescent="0.25">
      <c r="BL36" s="143"/>
    </row>
    <row r="37" spans="64:64" x14ac:dyDescent="0.25">
      <c r="BL37" s="143"/>
    </row>
    <row r="38" spans="64:64" x14ac:dyDescent="0.25">
      <c r="BL38" s="143"/>
    </row>
    <row r="39" spans="64:64" x14ac:dyDescent="0.25">
      <c r="BL39" s="143"/>
    </row>
    <row r="40" spans="64:64" x14ac:dyDescent="0.25">
      <c r="BL40" s="143"/>
    </row>
    <row r="41" spans="64:64" x14ac:dyDescent="0.25">
      <c r="BL41" s="146"/>
    </row>
    <row r="42" spans="64:64" x14ac:dyDescent="0.25">
      <c r="BL42" s="146"/>
    </row>
    <row r="43" spans="64:64" x14ac:dyDescent="0.25">
      <c r="BL43" s="146"/>
    </row>
    <row r="44" spans="64:64" x14ac:dyDescent="0.25">
      <c r="BL44" s="146"/>
    </row>
    <row r="45" spans="64:64" x14ac:dyDescent="0.25">
      <c r="BL45" s="146"/>
    </row>
    <row r="46" spans="64:64" x14ac:dyDescent="0.25">
      <c r="BL46" s="146"/>
    </row>
    <row r="47" spans="64:64" x14ac:dyDescent="0.25">
      <c r="BL47" s="146"/>
    </row>
    <row r="48" spans="64:64" x14ac:dyDescent="0.25">
      <c r="BL48" s="146"/>
    </row>
    <row r="49" spans="64:64" x14ac:dyDescent="0.25">
      <c r="BL49" s="146"/>
    </row>
    <row r="50" spans="64:64" x14ac:dyDescent="0.25">
      <c r="BL50" s="146">
        <v>21</v>
      </c>
    </row>
    <row r="51" spans="64:64" x14ac:dyDescent="0.25">
      <c r="BL51" s="146"/>
    </row>
    <row r="52" spans="64:64" x14ac:dyDescent="0.25">
      <c r="BL52" s="146">
        <v>3</v>
      </c>
    </row>
    <row r="54" spans="64:64" x14ac:dyDescent="0.25">
      <c r="BL54" s="65">
        <v>160</v>
      </c>
    </row>
    <row r="55" spans="64:64" x14ac:dyDescent="0.25">
      <c r="BL55" s="138">
        <f>BI55</f>
        <v>0</v>
      </c>
    </row>
    <row r="56" spans="64:64" x14ac:dyDescent="0.25">
      <c r="BL56" s="147"/>
    </row>
    <row r="57" spans="64:64" x14ac:dyDescent="0.25">
      <c r="BL57" s="138"/>
    </row>
    <row r="58" spans="64:64" x14ac:dyDescent="0.25">
      <c r="BL58" s="138">
        <f>BI58</f>
        <v>0</v>
      </c>
    </row>
    <row r="59" spans="64:64" x14ac:dyDescent="0.25">
      <c r="BL59" s="138">
        <v>36.4</v>
      </c>
    </row>
    <row r="60" spans="64:64" x14ac:dyDescent="0.25">
      <c r="BL60" s="138"/>
    </row>
    <row r="61" spans="64:64" x14ac:dyDescent="0.25">
      <c r="BL61" s="138"/>
    </row>
    <row r="62" spans="64:64" x14ac:dyDescent="0.25">
      <c r="BL62" s="138">
        <v>53.3</v>
      </c>
    </row>
    <row r="63" spans="64:64" x14ac:dyDescent="0.25">
      <c r="BL63" s="138"/>
    </row>
    <row r="64" spans="64:64" x14ac:dyDescent="0.25">
      <c r="BL64" s="138"/>
    </row>
    <row r="65" spans="64:64" x14ac:dyDescent="0.25">
      <c r="BL65" s="138"/>
    </row>
    <row r="66" spans="64:64" x14ac:dyDescent="0.25">
      <c r="BL66" s="138"/>
    </row>
    <row r="67" spans="64:64" x14ac:dyDescent="0.25">
      <c r="BL67" s="138"/>
    </row>
    <row r="68" spans="64:64" x14ac:dyDescent="0.25">
      <c r="BL68" s="138"/>
    </row>
    <row r="69" spans="64:64" x14ac:dyDescent="0.25">
      <c r="BL69" s="138"/>
    </row>
    <row r="70" spans="64:64" x14ac:dyDescent="0.25">
      <c r="BL70" s="143">
        <v>40</v>
      </c>
    </row>
    <row r="71" spans="64:64" x14ac:dyDescent="0.25">
      <c r="BL71" s="143">
        <v>60</v>
      </c>
    </row>
    <row r="76" spans="64:64" x14ac:dyDescent="0.25">
      <c r="BL76" s="65">
        <f>BI76</f>
        <v>0</v>
      </c>
    </row>
    <row r="77" spans="64:64" x14ac:dyDescent="0.25">
      <c r="BL77" s="65">
        <f>BI77</f>
        <v>0</v>
      </c>
    </row>
    <row r="78" spans="64:64" x14ac:dyDescent="0.25">
      <c r="BL78" s="65">
        <v>60</v>
      </c>
    </row>
  </sheetData>
  <autoFilter ref="BG4:BI5" xr:uid="{00000000-0009-0000-0000-000006000000}"/>
  <dataConsolidate/>
  <mergeCells count="10">
    <mergeCell ref="A3:A4"/>
    <mergeCell ref="B3:B4"/>
    <mergeCell ref="C3:C4"/>
    <mergeCell ref="F3:F4"/>
    <mergeCell ref="D3:D4"/>
    <mergeCell ref="BF3:BF4"/>
    <mergeCell ref="E3:E4"/>
    <mergeCell ref="AH3:AJ3"/>
    <mergeCell ref="K3:AG3"/>
    <mergeCell ref="G3:J3"/>
  </mergeCells>
  <phoneticPr fontId="4" type="noConversion"/>
  <pageMargins left="0.33" right="0.22" top="0.38" bottom="0.34" header="0.33" footer="0.37"/>
  <pageSetup paperSize="9" scale="75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BU62"/>
  <sheetViews>
    <sheetView zoomScale="110" zoomScaleNormal="110" workbookViewId="0">
      <pane xSplit="6" ySplit="5" topLeftCell="G10" activePane="bottomRight" state="frozen"/>
      <selection pane="topRight" activeCell="G1" sqref="G1"/>
      <selection pane="bottomLeft" activeCell="A6" sqref="A6"/>
      <selection pane="bottomRight" activeCell="BR16" sqref="BR16"/>
    </sheetView>
  </sheetViews>
  <sheetFormatPr defaultColWidth="9.109375" defaultRowHeight="13.2" x14ac:dyDescent="0.25"/>
  <cols>
    <col min="1" max="1" width="3.6640625" style="98" customWidth="1"/>
    <col min="2" max="2" width="27" style="98" customWidth="1"/>
    <col min="3" max="3" width="5.33203125" style="98" customWidth="1"/>
    <col min="4" max="4" width="4.6640625" style="98" bestFit="1" customWidth="1"/>
    <col min="5" max="5" width="2.33203125" style="98" customWidth="1"/>
    <col min="6" max="6" width="3.5546875" style="98" bestFit="1" customWidth="1"/>
    <col min="7" max="7" width="3.5546875" style="98" customWidth="1"/>
    <col min="8" max="8" width="2.88671875" style="98" customWidth="1"/>
    <col min="9" max="9" width="2.33203125" style="98" customWidth="1"/>
    <col min="10" max="10" width="4.44140625" style="98" customWidth="1"/>
    <col min="11" max="13" width="2.5546875" style="98" customWidth="1"/>
    <col min="14" max="14" width="2.33203125" style="98" customWidth="1"/>
    <col min="15" max="15" width="2.5546875" style="98" customWidth="1"/>
    <col min="16" max="16" width="2.33203125" style="98" customWidth="1"/>
    <col min="17" max="17" width="2.5546875" style="98" customWidth="1"/>
    <col min="18" max="18" width="2.33203125" style="98" customWidth="1"/>
    <col min="19" max="22" width="2.5546875" style="98" customWidth="1"/>
    <col min="23" max="23" width="2.33203125" style="98" customWidth="1"/>
    <col min="24" max="26" width="2.5546875" style="98" customWidth="1"/>
    <col min="27" max="33" width="2.5546875" style="98" hidden="1" customWidth="1"/>
    <col min="34" max="34" width="3.88671875" style="98" customWidth="1"/>
    <col min="35" max="35" width="3.5546875" style="98" customWidth="1"/>
    <col min="36" max="36" width="3.33203125" style="98" customWidth="1"/>
    <col min="37" max="37" width="4.33203125" style="98" customWidth="1"/>
    <col min="38" max="38" width="3.5546875" style="98" customWidth="1"/>
    <col min="39" max="39" width="3.88671875" style="98" customWidth="1"/>
    <col min="40" max="40" width="3.33203125" style="98" customWidth="1"/>
    <col min="41" max="41" width="4.44140625" style="98" customWidth="1"/>
    <col min="42" max="42" width="3.88671875" style="98" customWidth="1"/>
    <col min="43" max="43" width="4.44140625" style="98" customWidth="1"/>
    <col min="44" max="44" width="3.5546875" style="98" customWidth="1"/>
    <col min="45" max="45" width="3.6640625" style="98" customWidth="1"/>
    <col min="46" max="46" width="4.88671875" style="98" bestFit="1" customWidth="1"/>
    <col min="47" max="47" width="3.44140625" style="98" customWidth="1"/>
    <col min="48" max="48" width="3.5546875" style="98" customWidth="1"/>
    <col min="49" max="49" width="3.44140625" style="98" customWidth="1"/>
    <col min="50" max="57" width="4" style="98" customWidth="1"/>
    <col min="58" max="58" width="5.109375" style="98" customWidth="1"/>
    <col min="59" max="64" width="7.44140625" style="98" bestFit="1" customWidth="1"/>
    <col min="65" max="65" width="7.44140625" style="98" customWidth="1"/>
    <col min="66" max="66" width="7.44140625" style="98" bestFit="1" customWidth="1"/>
    <col min="67" max="67" width="7.5546875" style="98" customWidth="1"/>
    <col min="68" max="68" width="8.88671875" customWidth="1"/>
    <col min="69" max="16384" width="9.109375" style="98"/>
  </cols>
  <sheetData>
    <row r="1" spans="1:71" x14ac:dyDescent="0.25">
      <c r="B1" s="26"/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W1" s="25"/>
      <c r="Y1" s="26"/>
      <c r="Z1" s="26"/>
      <c r="AA1" s="26"/>
      <c r="AB1" s="26"/>
      <c r="AC1" s="26"/>
      <c r="AD1" s="26"/>
      <c r="AE1" s="26"/>
      <c r="AF1" s="26"/>
      <c r="AG1" s="26"/>
    </row>
    <row r="2" spans="1:71" ht="15" customHeight="1" x14ac:dyDescent="0.35">
      <c r="B2" s="26"/>
      <c r="J2" s="99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G2" s="100" t="s">
        <v>64</v>
      </c>
      <c r="BH2" s="100" t="s">
        <v>64</v>
      </c>
      <c r="BI2" s="100" t="s">
        <v>65</v>
      </c>
      <c r="BJ2" s="100" t="s">
        <v>187</v>
      </c>
      <c r="BK2" s="100" t="s">
        <v>65</v>
      </c>
      <c r="BL2" s="100" t="s">
        <v>187</v>
      </c>
      <c r="BM2" s="100" t="s">
        <v>66</v>
      </c>
    </row>
    <row r="3" spans="1:71" ht="51" customHeight="1" x14ac:dyDescent="0.25">
      <c r="A3" s="328" t="s">
        <v>1</v>
      </c>
      <c r="B3" s="329" t="s">
        <v>2</v>
      </c>
      <c r="C3" s="327" t="s">
        <v>3</v>
      </c>
      <c r="D3" s="327" t="s">
        <v>77</v>
      </c>
      <c r="E3" s="327" t="s">
        <v>40</v>
      </c>
      <c r="F3" s="327" t="s">
        <v>4</v>
      </c>
      <c r="G3" s="330" t="s">
        <v>5</v>
      </c>
      <c r="H3" s="330"/>
      <c r="I3" s="330"/>
      <c r="J3" s="330"/>
      <c r="K3" s="314" t="s">
        <v>46</v>
      </c>
      <c r="L3" s="314"/>
      <c r="M3" s="314"/>
      <c r="N3" s="314"/>
      <c r="O3" s="314"/>
      <c r="P3" s="314"/>
      <c r="Q3" s="314"/>
      <c r="R3" s="314"/>
      <c r="S3" s="314"/>
      <c r="T3" s="314"/>
      <c r="U3" s="314"/>
      <c r="V3" s="314"/>
      <c r="W3" s="314"/>
      <c r="X3" s="314"/>
      <c r="Y3" s="314"/>
      <c r="Z3" s="314"/>
      <c r="AA3" s="314"/>
      <c r="AB3" s="314"/>
      <c r="AC3" s="314"/>
      <c r="AD3" s="314"/>
      <c r="AE3" s="314"/>
      <c r="AF3" s="314"/>
      <c r="AG3" s="314"/>
      <c r="AH3" s="314" t="s">
        <v>56</v>
      </c>
      <c r="AI3" s="314"/>
      <c r="AJ3" s="314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207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39" t="s">
        <v>62</v>
      </c>
      <c r="BF3" s="326" t="s">
        <v>10</v>
      </c>
      <c r="BG3" s="140">
        <v>1</v>
      </c>
      <c r="BH3" s="140">
        <v>1</v>
      </c>
      <c r="BI3" s="140">
        <v>1</v>
      </c>
      <c r="BJ3" s="140">
        <v>1</v>
      </c>
      <c r="BK3" s="140">
        <v>0.5</v>
      </c>
      <c r="BL3" s="140">
        <v>0.5</v>
      </c>
      <c r="BM3" s="140">
        <v>0.5</v>
      </c>
      <c r="BN3" s="141"/>
      <c r="BO3" s="136"/>
    </row>
    <row r="4" spans="1:71" ht="90" customHeight="1" x14ac:dyDescent="0.25">
      <c r="A4" s="328"/>
      <c r="B4" s="329"/>
      <c r="C4" s="327"/>
      <c r="D4" s="327"/>
      <c r="E4" s="327"/>
      <c r="F4" s="327"/>
      <c r="G4" s="5" t="s">
        <v>11</v>
      </c>
      <c r="H4" s="5" t="s">
        <v>12</v>
      </c>
      <c r="I4" s="5" t="s">
        <v>13</v>
      </c>
      <c r="J4" s="5" t="s">
        <v>14</v>
      </c>
      <c r="K4" s="5" t="s">
        <v>43</v>
      </c>
      <c r="L4" s="5" t="s">
        <v>44</v>
      </c>
      <c r="M4" s="5" t="s">
        <v>45</v>
      </c>
      <c r="N4" s="5" t="s">
        <v>47</v>
      </c>
      <c r="O4" s="5" t="s">
        <v>48</v>
      </c>
      <c r="P4" s="5" t="s">
        <v>49</v>
      </c>
      <c r="Q4" s="5" t="s">
        <v>7</v>
      </c>
      <c r="R4" s="5" t="s">
        <v>22</v>
      </c>
      <c r="S4" s="5" t="s">
        <v>50</v>
      </c>
      <c r="T4" s="5" t="s">
        <v>51</v>
      </c>
      <c r="U4" s="5" t="s">
        <v>52</v>
      </c>
      <c r="V4" s="5" t="s">
        <v>206</v>
      </c>
      <c r="W4" s="5" t="s">
        <v>29</v>
      </c>
      <c r="X4" s="5" t="s">
        <v>9</v>
      </c>
      <c r="Y4" s="5" t="s">
        <v>54</v>
      </c>
      <c r="Z4" s="5" t="s">
        <v>55</v>
      </c>
      <c r="AA4" s="5" t="s">
        <v>34</v>
      </c>
      <c r="AB4" s="5" t="s">
        <v>35</v>
      </c>
      <c r="AC4" s="5" t="s">
        <v>36</v>
      </c>
      <c r="AD4" s="5" t="s">
        <v>37</v>
      </c>
      <c r="AE4" s="5" t="s">
        <v>59</v>
      </c>
      <c r="AF4" s="5" t="s">
        <v>60</v>
      </c>
      <c r="AG4" s="5" t="s">
        <v>62</v>
      </c>
      <c r="AH4" s="5" t="s">
        <v>43</v>
      </c>
      <c r="AI4" s="5" t="s">
        <v>44</v>
      </c>
      <c r="AJ4" s="5" t="s">
        <v>45</v>
      </c>
      <c r="AK4" s="5" t="s">
        <v>42</v>
      </c>
      <c r="AL4" s="5" t="s">
        <v>15</v>
      </c>
      <c r="AM4" s="5" t="s">
        <v>16</v>
      </c>
      <c r="AN4" s="5" t="s">
        <v>15</v>
      </c>
      <c r="AO4" s="5" t="s">
        <v>17</v>
      </c>
      <c r="AP4" s="5" t="s">
        <v>18</v>
      </c>
      <c r="AQ4" s="5" t="s">
        <v>23</v>
      </c>
      <c r="AR4" s="5" t="s">
        <v>19</v>
      </c>
      <c r="AS4" s="5" t="s">
        <v>25</v>
      </c>
      <c r="AT4" s="5" t="s">
        <v>92</v>
      </c>
      <c r="AU4" s="5" t="s">
        <v>31</v>
      </c>
      <c r="AV4" s="5" t="s">
        <v>32</v>
      </c>
      <c r="AW4" s="5" t="s">
        <v>27</v>
      </c>
      <c r="AX4" s="5" t="s">
        <v>96</v>
      </c>
      <c r="AY4" s="5" t="s">
        <v>20</v>
      </c>
      <c r="AZ4" s="5" t="s">
        <v>26</v>
      </c>
      <c r="BA4" s="5" t="s">
        <v>20</v>
      </c>
      <c r="BB4" s="5" t="s">
        <v>38</v>
      </c>
      <c r="BC4" s="5" t="s">
        <v>58</v>
      </c>
      <c r="BD4" s="5" t="s">
        <v>61</v>
      </c>
      <c r="BE4" s="5" t="s">
        <v>63</v>
      </c>
      <c r="BF4" s="326"/>
      <c r="BG4" s="131" t="s">
        <v>76</v>
      </c>
      <c r="BH4" s="131" t="s">
        <v>189</v>
      </c>
      <c r="BI4" s="131" t="s">
        <v>98</v>
      </c>
      <c r="BJ4" s="131" t="s">
        <v>188</v>
      </c>
      <c r="BK4" s="131" t="s">
        <v>104</v>
      </c>
      <c r="BL4" s="131" t="s">
        <v>202</v>
      </c>
      <c r="BM4" s="131" t="s">
        <v>221</v>
      </c>
      <c r="BN4" s="131" t="s">
        <v>21</v>
      </c>
      <c r="BO4" s="131" t="s">
        <v>72</v>
      </c>
    </row>
    <row r="5" spans="1:71" x14ac:dyDescent="0.25">
      <c r="A5" s="231"/>
      <c r="B5" s="232" t="s">
        <v>78</v>
      </c>
      <c r="C5" s="200"/>
      <c r="D5" s="200"/>
      <c r="E5" s="200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  <c r="S5" s="104"/>
      <c r="T5" s="104"/>
      <c r="U5" s="104"/>
      <c r="V5" s="104"/>
      <c r="W5" s="104"/>
      <c r="X5" s="104"/>
      <c r="Y5" s="104"/>
      <c r="Z5" s="104"/>
      <c r="AA5" s="104"/>
      <c r="AB5" s="104"/>
      <c r="AC5" s="104"/>
      <c r="AD5" s="104"/>
      <c r="AE5" s="104"/>
      <c r="AF5" s="104"/>
      <c r="AG5" s="104"/>
      <c r="AH5" s="104"/>
      <c r="AI5" s="104"/>
      <c r="AJ5" s="104"/>
      <c r="AK5" s="104"/>
      <c r="AL5" s="104"/>
      <c r="AM5" s="104"/>
      <c r="AN5" s="104"/>
      <c r="AO5" s="104"/>
      <c r="AP5" s="104"/>
      <c r="AQ5" s="104"/>
      <c r="AR5" s="104"/>
      <c r="AS5" s="104"/>
      <c r="AT5" s="104"/>
      <c r="AU5" s="104"/>
      <c r="AV5" s="104"/>
      <c r="AW5" s="104"/>
      <c r="AX5" s="104"/>
      <c r="AY5" s="104"/>
      <c r="AZ5" s="104"/>
      <c r="BA5" s="104"/>
      <c r="BB5" s="104"/>
      <c r="BC5" s="104"/>
      <c r="BD5" s="104"/>
      <c r="BE5" s="104"/>
      <c r="BF5" s="234">
        <f>SUM(BF6:BF36)</f>
        <v>0</v>
      </c>
      <c r="BG5" s="245">
        <f t="shared" ref="BG5:BM5" si="0">SUM(BG6:BG30)</f>
        <v>0</v>
      </c>
      <c r="BH5" s="245">
        <f t="shared" si="0"/>
        <v>0</v>
      </c>
      <c r="BI5" s="245">
        <f t="shared" si="0"/>
        <v>0</v>
      </c>
      <c r="BJ5" s="245">
        <f t="shared" si="0"/>
        <v>0</v>
      </c>
      <c r="BK5" s="245">
        <f t="shared" si="0"/>
        <v>0</v>
      </c>
      <c r="BL5" s="245">
        <f t="shared" si="0"/>
        <v>0</v>
      </c>
      <c r="BM5" s="245">
        <f t="shared" si="0"/>
        <v>0</v>
      </c>
      <c r="BN5" s="245">
        <f>SUM(BN6:BN33)</f>
        <v>0</v>
      </c>
      <c r="BO5" s="246">
        <f>BF5/805</f>
        <v>0</v>
      </c>
    </row>
    <row r="6" spans="1:71" s="185" customFormat="1" ht="12.75" customHeight="1" x14ac:dyDescent="0.25">
      <c r="A6" s="43"/>
      <c r="B6" s="201"/>
      <c r="C6" s="43"/>
      <c r="D6" s="43"/>
      <c r="E6" s="43"/>
      <c r="F6" s="43"/>
      <c r="G6" s="43"/>
      <c r="H6" s="43"/>
      <c r="I6" s="43"/>
      <c r="J6" s="87"/>
      <c r="K6" s="202"/>
      <c r="L6" s="43"/>
      <c r="M6" s="203"/>
      <c r="N6" s="204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 t="str">
        <f>IF(K6&lt;&gt;"",H6*K6,"")</f>
        <v/>
      </c>
      <c r="AI6" s="43" t="str">
        <f>IF(L6&lt;&gt;"",H6*L6,"")</f>
        <v/>
      </c>
      <c r="AJ6" s="43" t="str">
        <f t="shared" ref="AJ6" si="1">IF(M6&lt;&gt;"",M6*H6,"")</f>
        <v/>
      </c>
      <c r="AK6" s="43">
        <f>IF(E6="з",0.15,0.05)*IF(AH6&lt;&gt;"",AH6,0)+2*IF(N6=1,1,0)</f>
        <v>0</v>
      </c>
      <c r="AL6" s="43" t="str">
        <f>IF(N6&lt;&gt;"",0.33*G6,"")</f>
        <v/>
      </c>
      <c r="AM6" s="43" t="str">
        <f>IF(O6="+",0.25*G6,IF(O6="+Д",G6*0.33,""))</f>
        <v/>
      </c>
      <c r="AN6" s="43"/>
      <c r="AO6" s="43" t="str">
        <f>IF(Q6&lt;&gt;"",2*G6,"")</f>
        <v/>
      </c>
      <c r="AP6" s="43" t="str">
        <f>IF(R6&lt;&gt;"",3*H6,"")</f>
        <v/>
      </c>
      <c r="AQ6" s="43"/>
      <c r="AR6" s="43"/>
      <c r="AS6" s="43"/>
      <c r="AT6" s="43" t="str">
        <f>IF(V6&lt;&gt;"",0.5*G6,"")</f>
        <v/>
      </c>
      <c r="AU6" s="43"/>
      <c r="AV6" s="43"/>
      <c r="AW6" s="43"/>
      <c r="AX6" s="43"/>
      <c r="AY6" s="43"/>
      <c r="AZ6" s="43"/>
      <c r="BA6" s="43"/>
      <c r="BB6" s="43"/>
      <c r="BC6" s="43"/>
      <c r="BD6" s="43"/>
      <c r="BF6" s="43">
        <f t="shared" ref="BF6:BF34" si="2">SUM(AH6:BE6)</f>
        <v>0</v>
      </c>
      <c r="BG6" s="43"/>
      <c r="BH6" s="43"/>
      <c r="BI6" s="43"/>
      <c r="BJ6" s="43"/>
      <c r="BK6" s="43"/>
      <c r="BL6" s="43"/>
      <c r="BM6" s="43"/>
      <c r="BN6" s="43"/>
      <c r="BO6" s="43"/>
      <c r="BQ6" s="43"/>
      <c r="BR6" s="43"/>
      <c r="BS6" s="43"/>
    </row>
    <row r="7" spans="1:71" s="129" customFormat="1" ht="12" x14ac:dyDescent="0.25">
      <c r="A7" s="43"/>
      <c r="B7" s="201"/>
      <c r="C7" s="43"/>
      <c r="D7" s="43"/>
      <c r="E7" s="43"/>
      <c r="F7" s="224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 t="str">
        <f t="shared" ref="AH7:AH34" si="3">IF(K7&lt;&gt;"",H7*K7,"")</f>
        <v/>
      </c>
      <c r="AI7" s="43" t="str">
        <f t="shared" ref="AI7:AI34" si="4">IF(L7&lt;&gt;"",H7*L7,"")</f>
        <v/>
      </c>
      <c r="AJ7" s="43" t="str">
        <f t="shared" ref="AJ7:AJ34" si="5">IF(M7&lt;&gt;"",M7*H7,"")</f>
        <v/>
      </c>
      <c r="AK7" s="43">
        <f t="shared" ref="AK7:AK34" si="6">IF(E7="з",0.15,0.05)*IF(AH7&lt;&gt;"",AH7,0)+2*IF(N7=1,1,0)</f>
        <v>0</v>
      </c>
      <c r="AL7" s="43" t="str">
        <f t="shared" ref="AL7:AL34" si="7">IF(N7&lt;&gt;"",0.33*G7,"")</f>
        <v/>
      </c>
      <c r="AM7" s="43" t="str">
        <f t="shared" ref="AM7:AM34" si="8">IF(O7="+",0.25*G7,IF(O7="+Д",G7*0.33,""))</f>
        <v/>
      </c>
      <c r="AN7" s="43"/>
      <c r="AO7" s="43" t="str">
        <f t="shared" ref="AO7:AO34" si="9">IF(Q7&lt;&gt;"",2*G7,"")</f>
        <v/>
      </c>
      <c r="AP7" s="43" t="str">
        <f t="shared" ref="AP7:AP34" si="10">IF(R7&lt;&gt;"",3*H7,"")</f>
        <v/>
      </c>
      <c r="AQ7" s="43"/>
      <c r="AR7" s="43"/>
      <c r="AS7" s="43"/>
      <c r="AT7" s="43" t="str">
        <f t="shared" ref="AT7:AT34" si="11">IF(V7&lt;&gt;"",0.5*G7,"")</f>
        <v/>
      </c>
      <c r="AU7" s="43"/>
      <c r="AV7" s="43"/>
      <c r="AW7" s="43"/>
      <c r="AX7" s="43"/>
      <c r="AY7" s="43"/>
      <c r="AZ7" s="43"/>
      <c r="BA7" s="43"/>
      <c r="BB7" s="43"/>
      <c r="BC7" s="43"/>
      <c r="BD7" s="43"/>
      <c r="BF7" s="43">
        <f t="shared" si="2"/>
        <v>0</v>
      </c>
      <c r="BG7" s="147"/>
      <c r="BH7" s="206"/>
      <c r="BI7" s="206"/>
      <c r="BJ7" s="206"/>
      <c r="BK7" s="206"/>
      <c r="BL7" s="206"/>
      <c r="BM7" s="206"/>
      <c r="BN7" s="147"/>
      <c r="BO7" s="206"/>
    </row>
    <row r="8" spans="1:71" s="129" customFormat="1" ht="12" x14ac:dyDescent="0.25">
      <c r="A8" s="43"/>
      <c r="B8" s="54"/>
      <c r="C8" s="43"/>
      <c r="D8" s="43"/>
      <c r="E8" s="43"/>
      <c r="F8" s="224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 t="str">
        <f t="shared" si="3"/>
        <v/>
      </c>
      <c r="AI8" s="43" t="str">
        <f t="shared" si="4"/>
        <v/>
      </c>
      <c r="AJ8" s="43" t="str">
        <f t="shared" si="5"/>
        <v/>
      </c>
      <c r="AK8" s="43">
        <f t="shared" si="6"/>
        <v>0</v>
      </c>
      <c r="AL8" s="43" t="str">
        <f t="shared" si="7"/>
        <v/>
      </c>
      <c r="AM8" s="43" t="str">
        <f t="shared" si="8"/>
        <v/>
      </c>
      <c r="AN8" s="43"/>
      <c r="AO8" s="43" t="str">
        <f t="shared" si="9"/>
        <v/>
      </c>
      <c r="AP8" s="43" t="str">
        <f t="shared" si="10"/>
        <v/>
      </c>
      <c r="AQ8" s="43"/>
      <c r="AR8" s="43"/>
      <c r="AS8" s="43"/>
      <c r="AT8" s="43" t="str">
        <f t="shared" si="11"/>
        <v/>
      </c>
      <c r="AU8" s="43"/>
      <c r="AV8" s="43"/>
      <c r="AW8" s="43"/>
      <c r="AX8" s="43"/>
      <c r="AY8" s="43"/>
      <c r="AZ8" s="43"/>
      <c r="BA8" s="43"/>
      <c r="BB8" s="43"/>
      <c r="BC8" s="43"/>
      <c r="BD8" s="43"/>
      <c r="BF8" s="43">
        <f t="shared" si="2"/>
        <v>0</v>
      </c>
      <c r="BG8" s="147"/>
      <c r="BH8" s="206"/>
      <c r="BI8" s="206"/>
      <c r="BJ8" s="206"/>
      <c r="BK8" s="206"/>
      <c r="BL8" s="206"/>
      <c r="BM8" s="206"/>
      <c r="BN8" s="147"/>
      <c r="BO8" s="206"/>
    </row>
    <row r="9" spans="1:71" s="129" customFormat="1" ht="12" x14ac:dyDescent="0.25">
      <c r="A9" s="43"/>
      <c r="B9" s="201"/>
      <c r="C9" s="43"/>
      <c r="D9" s="43"/>
      <c r="E9" s="43"/>
      <c r="F9" s="224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 t="str">
        <f t="shared" si="3"/>
        <v/>
      </c>
      <c r="AI9" s="43" t="str">
        <f t="shared" si="4"/>
        <v/>
      </c>
      <c r="AJ9" s="43" t="str">
        <f t="shared" si="5"/>
        <v/>
      </c>
      <c r="AK9" s="43">
        <f t="shared" si="6"/>
        <v>0</v>
      </c>
      <c r="AL9" s="43" t="str">
        <f t="shared" si="7"/>
        <v/>
      </c>
      <c r="AM9" s="43" t="str">
        <f t="shared" si="8"/>
        <v/>
      </c>
      <c r="AN9" s="43"/>
      <c r="AO9" s="43" t="str">
        <f t="shared" si="9"/>
        <v/>
      </c>
      <c r="AP9" s="43" t="str">
        <f t="shared" si="10"/>
        <v/>
      </c>
      <c r="AQ9" s="43"/>
      <c r="AR9" s="43"/>
      <c r="AS9" s="43"/>
      <c r="AT9" s="43" t="str">
        <f t="shared" si="11"/>
        <v/>
      </c>
      <c r="AU9" s="43"/>
      <c r="AV9" s="43"/>
      <c r="AW9" s="43"/>
      <c r="AX9" s="43"/>
      <c r="AY9" s="43"/>
      <c r="AZ9" s="43"/>
      <c r="BA9" s="43"/>
      <c r="BB9" s="43"/>
      <c r="BC9" s="43"/>
      <c r="BD9" s="43"/>
      <c r="BF9" s="43">
        <f t="shared" si="2"/>
        <v>0</v>
      </c>
      <c r="BG9" s="206"/>
      <c r="BH9" s="206"/>
      <c r="BI9" s="206"/>
      <c r="BJ9" s="206"/>
      <c r="BK9" s="206"/>
      <c r="BL9" s="206"/>
      <c r="BM9" s="206"/>
      <c r="BN9" s="147"/>
      <c r="BO9" s="206"/>
    </row>
    <row r="10" spans="1:71" s="129" customFormat="1" ht="12" x14ac:dyDescent="0.25">
      <c r="A10" s="43"/>
      <c r="B10" s="201"/>
      <c r="C10" s="43"/>
      <c r="D10" s="43"/>
      <c r="E10" s="43"/>
      <c r="F10" s="224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 t="str">
        <f t="shared" si="3"/>
        <v/>
      </c>
      <c r="AI10" s="43" t="str">
        <f t="shared" si="4"/>
        <v/>
      </c>
      <c r="AJ10" s="43" t="str">
        <f t="shared" si="5"/>
        <v/>
      </c>
      <c r="AK10" s="43">
        <f t="shared" si="6"/>
        <v>0</v>
      </c>
      <c r="AL10" s="43" t="str">
        <f t="shared" si="7"/>
        <v/>
      </c>
      <c r="AM10" s="43" t="str">
        <f t="shared" si="8"/>
        <v/>
      </c>
      <c r="AN10" s="43"/>
      <c r="AO10" s="43" t="str">
        <f t="shared" si="9"/>
        <v/>
      </c>
      <c r="AP10" s="43" t="str">
        <f t="shared" si="10"/>
        <v/>
      </c>
      <c r="AQ10" s="43"/>
      <c r="AR10" s="43"/>
      <c r="AS10" s="43"/>
      <c r="AT10" s="43" t="str">
        <f t="shared" si="11"/>
        <v/>
      </c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F10" s="43">
        <f t="shared" si="2"/>
        <v>0</v>
      </c>
      <c r="BG10" s="206"/>
      <c r="BH10" s="206"/>
      <c r="BI10" s="206"/>
      <c r="BJ10" s="206"/>
      <c r="BK10" s="206"/>
      <c r="BL10" s="206"/>
      <c r="BM10" s="206"/>
      <c r="BN10" s="147"/>
      <c r="BO10" s="206"/>
    </row>
    <row r="11" spans="1:71" s="129" customFormat="1" ht="12" x14ac:dyDescent="0.25">
      <c r="A11" s="43"/>
      <c r="B11" s="201"/>
      <c r="C11" s="43"/>
      <c r="D11" s="43"/>
      <c r="E11" s="43"/>
      <c r="F11" s="224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 t="str">
        <f t="shared" si="3"/>
        <v/>
      </c>
      <c r="AI11" s="43" t="str">
        <f t="shared" si="4"/>
        <v/>
      </c>
      <c r="AJ11" s="43" t="str">
        <f t="shared" si="5"/>
        <v/>
      </c>
      <c r="AK11" s="43">
        <f t="shared" si="6"/>
        <v>0</v>
      </c>
      <c r="AL11" s="43" t="str">
        <f t="shared" si="7"/>
        <v/>
      </c>
      <c r="AM11" s="43" t="str">
        <f t="shared" si="8"/>
        <v/>
      </c>
      <c r="AN11" s="43"/>
      <c r="AO11" s="43" t="str">
        <f t="shared" si="9"/>
        <v/>
      </c>
      <c r="AP11" s="43" t="str">
        <f t="shared" si="10"/>
        <v/>
      </c>
      <c r="AQ11" s="43"/>
      <c r="AR11" s="43"/>
      <c r="AS11" s="43"/>
      <c r="AT11" s="43" t="str">
        <f t="shared" si="11"/>
        <v/>
      </c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F11" s="43">
        <f t="shared" si="2"/>
        <v>0</v>
      </c>
      <c r="BG11" s="254"/>
      <c r="BH11" s="254"/>
      <c r="BI11" s="254"/>
      <c r="BJ11" s="206"/>
      <c r="BK11" s="206"/>
      <c r="BL11" s="206"/>
      <c r="BM11" s="206"/>
      <c r="BN11" s="147"/>
      <c r="BO11" s="206"/>
    </row>
    <row r="12" spans="1:71" s="129" customFormat="1" ht="12" x14ac:dyDescent="0.25">
      <c r="A12" s="43"/>
      <c r="B12" s="228"/>
      <c r="C12" s="43"/>
      <c r="D12" s="43"/>
      <c r="E12" s="43"/>
      <c r="F12" s="269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 t="str">
        <f t="shared" si="3"/>
        <v/>
      </c>
      <c r="AI12" s="43" t="str">
        <f t="shared" si="4"/>
        <v/>
      </c>
      <c r="AJ12" s="43" t="str">
        <f t="shared" si="5"/>
        <v/>
      </c>
      <c r="AK12" s="43">
        <f t="shared" si="6"/>
        <v>0</v>
      </c>
      <c r="AL12" s="43" t="str">
        <f t="shared" si="7"/>
        <v/>
      </c>
      <c r="AM12" s="43" t="str">
        <f t="shared" si="8"/>
        <v/>
      </c>
      <c r="AN12" s="43"/>
      <c r="AO12" s="43" t="str">
        <f t="shared" si="9"/>
        <v/>
      </c>
      <c r="AP12" s="43" t="str">
        <f t="shared" si="10"/>
        <v/>
      </c>
      <c r="AQ12" s="43"/>
      <c r="AR12" s="43"/>
      <c r="AS12" s="43"/>
      <c r="AT12" s="43" t="str">
        <f t="shared" si="11"/>
        <v/>
      </c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F12" s="43">
        <f t="shared" si="2"/>
        <v>0</v>
      </c>
      <c r="BG12" s="206"/>
      <c r="BH12" s="206"/>
      <c r="BI12" s="206"/>
      <c r="BJ12" s="206"/>
      <c r="BK12" s="206"/>
      <c r="BL12" s="206"/>
      <c r="BM12" s="206"/>
      <c r="BN12" s="147"/>
      <c r="BO12" s="206"/>
    </row>
    <row r="13" spans="1:71" s="129" customFormat="1" ht="12" x14ac:dyDescent="0.25">
      <c r="A13" s="43"/>
      <c r="B13" s="54"/>
      <c r="C13" s="43"/>
      <c r="D13" s="43"/>
      <c r="E13" s="43"/>
      <c r="F13" s="269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 t="str">
        <f t="shared" si="3"/>
        <v/>
      </c>
      <c r="AI13" s="43" t="str">
        <f t="shared" si="4"/>
        <v/>
      </c>
      <c r="AJ13" s="43" t="str">
        <f t="shared" si="5"/>
        <v/>
      </c>
      <c r="AK13" s="43">
        <f t="shared" si="6"/>
        <v>0</v>
      </c>
      <c r="AL13" s="43" t="str">
        <f t="shared" si="7"/>
        <v/>
      </c>
      <c r="AM13" s="43" t="str">
        <f t="shared" si="8"/>
        <v/>
      </c>
      <c r="AN13" s="43"/>
      <c r="AO13" s="43" t="str">
        <f t="shared" si="9"/>
        <v/>
      </c>
      <c r="AP13" s="43" t="str">
        <f t="shared" si="10"/>
        <v/>
      </c>
      <c r="AQ13" s="43"/>
      <c r="AR13" s="43"/>
      <c r="AS13" s="43"/>
      <c r="AT13" s="43" t="str">
        <f t="shared" si="11"/>
        <v/>
      </c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F13" s="43">
        <f t="shared" si="2"/>
        <v>0</v>
      </c>
      <c r="BG13" s="147"/>
      <c r="BH13" s="206"/>
      <c r="BI13" s="206"/>
      <c r="BJ13" s="206"/>
      <c r="BK13" s="206"/>
      <c r="BL13" s="206"/>
      <c r="BM13" s="206"/>
      <c r="BN13" s="147"/>
      <c r="BO13" s="206"/>
    </row>
    <row r="14" spans="1:71" s="129" customFormat="1" ht="12" x14ac:dyDescent="0.25">
      <c r="A14" s="43"/>
      <c r="B14" s="201"/>
      <c r="C14" s="43"/>
      <c r="D14" s="43"/>
      <c r="E14" s="43"/>
      <c r="F14" s="269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 t="str">
        <f t="shared" si="3"/>
        <v/>
      </c>
      <c r="AI14" s="43" t="str">
        <f t="shared" si="4"/>
        <v/>
      </c>
      <c r="AJ14" s="43" t="str">
        <f t="shared" si="5"/>
        <v/>
      </c>
      <c r="AK14" s="43">
        <f t="shared" si="6"/>
        <v>0</v>
      </c>
      <c r="AL14" s="43" t="str">
        <f t="shared" si="7"/>
        <v/>
      </c>
      <c r="AM14" s="43" t="str">
        <f t="shared" si="8"/>
        <v/>
      </c>
      <c r="AN14" s="43"/>
      <c r="AO14" s="43" t="str">
        <f t="shared" si="9"/>
        <v/>
      </c>
      <c r="AP14" s="43" t="str">
        <f t="shared" si="10"/>
        <v/>
      </c>
      <c r="AQ14" s="43"/>
      <c r="AR14" s="43"/>
      <c r="AS14" s="43"/>
      <c r="AT14" s="43" t="str">
        <f t="shared" si="11"/>
        <v/>
      </c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F14" s="43">
        <f t="shared" si="2"/>
        <v>0</v>
      </c>
      <c r="BG14" s="206"/>
      <c r="BH14" s="206"/>
      <c r="BI14" s="206"/>
      <c r="BJ14" s="206"/>
      <c r="BK14" s="206"/>
      <c r="BL14" s="206"/>
      <c r="BM14" s="206"/>
      <c r="BN14" s="147"/>
      <c r="BO14" s="206"/>
    </row>
    <row r="15" spans="1:71" s="129" customFormat="1" ht="12" x14ac:dyDescent="0.25">
      <c r="A15" s="43"/>
      <c r="B15" s="228"/>
      <c r="C15" s="43"/>
      <c r="D15" s="43"/>
      <c r="E15" s="43"/>
      <c r="F15" s="269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 t="str">
        <f t="shared" si="3"/>
        <v/>
      </c>
      <c r="AI15" s="43" t="str">
        <f t="shared" si="4"/>
        <v/>
      </c>
      <c r="AJ15" s="43" t="str">
        <f t="shared" si="5"/>
        <v/>
      </c>
      <c r="AK15" s="43">
        <f t="shared" si="6"/>
        <v>0</v>
      </c>
      <c r="AL15" s="43" t="str">
        <f t="shared" si="7"/>
        <v/>
      </c>
      <c r="AM15" s="43" t="str">
        <f t="shared" si="8"/>
        <v/>
      </c>
      <c r="AN15" s="43"/>
      <c r="AO15" s="43" t="str">
        <f t="shared" si="9"/>
        <v/>
      </c>
      <c r="AP15" s="43" t="str">
        <f t="shared" si="10"/>
        <v/>
      </c>
      <c r="AQ15" s="43"/>
      <c r="AR15" s="43"/>
      <c r="AS15" s="43"/>
      <c r="AT15" s="43" t="str">
        <f t="shared" si="11"/>
        <v/>
      </c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F15" s="43">
        <f t="shared" si="2"/>
        <v>0</v>
      </c>
      <c r="BG15" s="206"/>
      <c r="BI15" s="206"/>
      <c r="BJ15" s="206"/>
      <c r="BK15" s="206"/>
      <c r="BL15" s="206"/>
      <c r="BM15" s="206"/>
      <c r="BN15" s="147"/>
      <c r="BO15" s="206"/>
    </row>
    <row r="16" spans="1:71" s="253" customFormat="1" ht="26.25" customHeight="1" x14ac:dyDescent="0.25">
      <c r="A16" s="43"/>
      <c r="B16" s="54"/>
      <c r="C16" s="43"/>
      <c r="D16" s="43"/>
      <c r="E16" s="43"/>
      <c r="F16" s="269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 t="str">
        <f t="shared" si="3"/>
        <v/>
      </c>
      <c r="AI16" s="43" t="str">
        <f t="shared" si="4"/>
        <v/>
      </c>
      <c r="AJ16" s="43" t="str">
        <f t="shared" si="5"/>
        <v/>
      </c>
      <c r="AK16" s="43">
        <f t="shared" si="6"/>
        <v>0</v>
      </c>
      <c r="AL16" s="43" t="str">
        <f t="shared" si="7"/>
        <v/>
      </c>
      <c r="AM16" s="43" t="str">
        <f t="shared" si="8"/>
        <v/>
      </c>
      <c r="AN16" s="43"/>
      <c r="AO16" s="43" t="str">
        <f t="shared" si="9"/>
        <v/>
      </c>
      <c r="AP16" s="43" t="str">
        <f t="shared" si="10"/>
        <v/>
      </c>
      <c r="AQ16" s="43"/>
      <c r="AR16" s="43"/>
      <c r="AS16" s="43"/>
      <c r="AT16" s="43" t="str">
        <f t="shared" si="11"/>
        <v/>
      </c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F16" s="43">
        <f t="shared" si="2"/>
        <v>0</v>
      </c>
      <c r="BG16" s="206"/>
      <c r="BH16" s="206"/>
      <c r="BI16" s="206"/>
      <c r="BJ16" s="206"/>
      <c r="BK16" s="206"/>
      <c r="BL16" s="206"/>
      <c r="BM16" s="206"/>
      <c r="BN16" s="147"/>
      <c r="BO16" s="206"/>
    </row>
    <row r="17" spans="1:73" s="253" customFormat="1" x14ac:dyDescent="0.25">
      <c r="A17" s="43"/>
      <c r="B17" s="201"/>
      <c r="C17" s="43"/>
      <c r="D17" s="43"/>
      <c r="E17" s="43"/>
      <c r="F17" s="269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 t="str">
        <f t="shared" si="3"/>
        <v/>
      </c>
      <c r="AI17" s="43" t="str">
        <f t="shared" si="4"/>
        <v/>
      </c>
      <c r="AJ17" s="43" t="str">
        <f t="shared" si="5"/>
        <v/>
      </c>
      <c r="AK17" s="43">
        <f t="shared" si="6"/>
        <v>0</v>
      </c>
      <c r="AL17" s="43" t="str">
        <f t="shared" si="7"/>
        <v/>
      </c>
      <c r="AM17" s="43" t="str">
        <f t="shared" si="8"/>
        <v/>
      </c>
      <c r="AN17" s="43"/>
      <c r="AO17" s="43" t="str">
        <f t="shared" si="9"/>
        <v/>
      </c>
      <c r="AP17" s="43" t="str">
        <f t="shared" si="10"/>
        <v/>
      </c>
      <c r="AQ17" s="43"/>
      <c r="AR17" s="43"/>
      <c r="AS17" s="43"/>
      <c r="AT17" s="43" t="str">
        <f t="shared" si="11"/>
        <v/>
      </c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F17" s="43">
        <f t="shared" si="2"/>
        <v>0</v>
      </c>
      <c r="BG17" s="206"/>
      <c r="BH17" s="206"/>
      <c r="BI17" s="206"/>
      <c r="BJ17" s="206"/>
      <c r="BK17" s="206"/>
      <c r="BL17" s="206"/>
      <c r="BM17" s="206"/>
      <c r="BN17" s="147"/>
      <c r="BO17" s="206"/>
    </row>
    <row r="18" spans="1:73" s="129" customFormat="1" ht="12" x14ac:dyDescent="0.25">
      <c r="A18" s="43"/>
      <c r="B18" s="201"/>
      <c r="C18" s="43"/>
      <c r="D18" s="43"/>
      <c r="E18" s="43"/>
      <c r="F18" s="269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 t="str">
        <f t="shared" si="3"/>
        <v/>
      </c>
      <c r="AI18" s="43" t="str">
        <f t="shared" si="4"/>
        <v/>
      </c>
      <c r="AJ18" s="43" t="str">
        <f t="shared" si="5"/>
        <v/>
      </c>
      <c r="AK18" s="43">
        <f t="shared" si="6"/>
        <v>0</v>
      </c>
      <c r="AL18" s="43" t="str">
        <f t="shared" si="7"/>
        <v/>
      </c>
      <c r="AM18" s="43" t="str">
        <f t="shared" si="8"/>
        <v/>
      </c>
      <c r="AN18" s="43"/>
      <c r="AO18" s="43" t="str">
        <f t="shared" si="9"/>
        <v/>
      </c>
      <c r="AP18" s="43" t="str">
        <f t="shared" si="10"/>
        <v/>
      </c>
      <c r="AQ18" s="43"/>
      <c r="AR18" s="43"/>
      <c r="AS18" s="43"/>
      <c r="AT18" s="43" t="str">
        <f t="shared" si="11"/>
        <v/>
      </c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F18" s="43">
        <f t="shared" si="2"/>
        <v>0</v>
      </c>
      <c r="BG18" s="254"/>
      <c r="BH18" s="254"/>
      <c r="BI18" s="254"/>
      <c r="BJ18" s="206"/>
      <c r="BK18" s="206"/>
      <c r="BL18" s="206"/>
      <c r="BM18" s="206"/>
      <c r="BN18" s="147"/>
      <c r="BO18" s="206"/>
    </row>
    <row r="19" spans="1:73" s="129" customFormat="1" ht="12" x14ac:dyDescent="0.25">
      <c r="A19" s="43"/>
      <c r="B19" s="249"/>
      <c r="C19" s="43"/>
      <c r="D19" s="43"/>
      <c r="E19" s="43"/>
      <c r="F19" s="224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 t="str">
        <f t="shared" si="3"/>
        <v/>
      </c>
      <c r="AI19" s="43" t="str">
        <f t="shared" si="4"/>
        <v/>
      </c>
      <c r="AJ19" s="43" t="str">
        <f t="shared" si="5"/>
        <v/>
      </c>
      <c r="AK19" s="43">
        <f t="shared" si="6"/>
        <v>0</v>
      </c>
      <c r="AL19" s="43" t="str">
        <f t="shared" si="7"/>
        <v/>
      </c>
      <c r="AM19" s="43" t="str">
        <f t="shared" si="8"/>
        <v/>
      </c>
      <c r="AN19" s="43"/>
      <c r="AO19" s="43" t="str">
        <f t="shared" si="9"/>
        <v/>
      </c>
      <c r="AP19" s="43" t="str">
        <f t="shared" si="10"/>
        <v/>
      </c>
      <c r="AQ19" s="43"/>
      <c r="AR19" s="43"/>
      <c r="AS19" s="43"/>
      <c r="AT19" s="43" t="str">
        <f t="shared" si="11"/>
        <v/>
      </c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F19" s="43">
        <f t="shared" si="2"/>
        <v>0</v>
      </c>
      <c r="BG19" s="206"/>
      <c r="BH19" s="206"/>
      <c r="BI19" s="206"/>
      <c r="BJ19" s="206"/>
      <c r="BK19" s="206"/>
      <c r="BL19" s="206"/>
      <c r="BM19" s="206"/>
      <c r="BN19" s="147"/>
      <c r="BO19" s="206"/>
    </row>
    <row r="20" spans="1:73" s="129" customFormat="1" ht="12" x14ac:dyDescent="0.25">
      <c r="A20" s="43"/>
      <c r="B20" s="249"/>
      <c r="C20" s="43"/>
      <c r="D20" s="43"/>
      <c r="E20" s="43"/>
      <c r="F20" s="224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 t="str">
        <f t="shared" si="3"/>
        <v/>
      </c>
      <c r="AI20" s="43" t="str">
        <f t="shared" si="4"/>
        <v/>
      </c>
      <c r="AJ20" s="43" t="str">
        <f t="shared" si="5"/>
        <v/>
      </c>
      <c r="AK20" s="43">
        <f t="shared" si="6"/>
        <v>0</v>
      </c>
      <c r="AL20" s="43" t="str">
        <f t="shared" si="7"/>
        <v/>
      </c>
      <c r="AM20" s="43" t="str">
        <f t="shared" si="8"/>
        <v/>
      </c>
      <c r="AN20" s="43"/>
      <c r="AO20" s="43" t="str">
        <f t="shared" si="9"/>
        <v/>
      </c>
      <c r="AP20" s="43" t="str">
        <f t="shared" si="10"/>
        <v/>
      </c>
      <c r="AQ20" s="43"/>
      <c r="AR20" s="43"/>
      <c r="AS20" s="43"/>
      <c r="AT20" s="43" t="str">
        <f t="shared" si="11"/>
        <v/>
      </c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F20" s="43">
        <f t="shared" si="2"/>
        <v>0</v>
      </c>
      <c r="BG20" s="206"/>
      <c r="BH20" s="206"/>
      <c r="BI20" s="206"/>
      <c r="BJ20" s="206"/>
      <c r="BK20" s="206"/>
      <c r="BL20" s="206"/>
      <c r="BM20" s="206"/>
      <c r="BN20" s="147"/>
      <c r="BO20" s="206"/>
    </row>
    <row r="21" spans="1:73" s="129" customFormat="1" ht="12" x14ac:dyDescent="0.25">
      <c r="A21" s="43"/>
      <c r="B21" s="228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 t="str">
        <f t="shared" si="3"/>
        <v/>
      </c>
      <c r="AI21" s="43" t="str">
        <f t="shared" si="4"/>
        <v/>
      </c>
      <c r="AJ21" s="43" t="str">
        <f t="shared" si="5"/>
        <v/>
      </c>
      <c r="AK21" s="43">
        <f t="shared" si="6"/>
        <v>0</v>
      </c>
      <c r="AL21" s="43" t="str">
        <f t="shared" si="7"/>
        <v/>
      </c>
      <c r="AM21" s="43" t="str">
        <f t="shared" si="8"/>
        <v/>
      </c>
      <c r="AN21" s="43"/>
      <c r="AO21" s="43" t="str">
        <f t="shared" si="9"/>
        <v/>
      </c>
      <c r="AP21" s="43" t="str">
        <f t="shared" si="10"/>
        <v/>
      </c>
      <c r="AQ21" s="43"/>
      <c r="AR21" s="43"/>
      <c r="AS21" s="43"/>
      <c r="AT21" s="43" t="str">
        <f t="shared" si="11"/>
        <v/>
      </c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F21" s="43">
        <f t="shared" si="2"/>
        <v>0</v>
      </c>
      <c r="BG21" s="206"/>
      <c r="BH21" s="206"/>
      <c r="BI21" s="206"/>
      <c r="BJ21" s="206"/>
      <c r="BK21" s="206"/>
      <c r="BL21" s="206"/>
      <c r="BM21" s="206"/>
      <c r="BN21" s="147"/>
      <c r="BO21" s="206"/>
    </row>
    <row r="22" spans="1:73" s="129" customFormat="1" ht="12" x14ac:dyDescent="0.25">
      <c r="A22" s="43"/>
      <c r="B22" s="228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 t="str">
        <f t="shared" si="3"/>
        <v/>
      </c>
      <c r="AI22" s="43" t="str">
        <f t="shared" si="4"/>
        <v/>
      </c>
      <c r="AJ22" s="43" t="str">
        <f t="shared" si="5"/>
        <v/>
      </c>
      <c r="AK22" s="43">
        <f t="shared" si="6"/>
        <v>0</v>
      </c>
      <c r="AL22" s="43" t="str">
        <f t="shared" si="7"/>
        <v/>
      </c>
      <c r="AM22" s="43" t="str">
        <f t="shared" si="8"/>
        <v/>
      </c>
      <c r="AN22" s="43"/>
      <c r="AO22" s="43" t="str">
        <f t="shared" si="9"/>
        <v/>
      </c>
      <c r="AP22" s="43" t="str">
        <f t="shared" si="10"/>
        <v/>
      </c>
      <c r="AQ22" s="43"/>
      <c r="AR22" s="43"/>
      <c r="AS22" s="43"/>
      <c r="AT22" s="43" t="str">
        <f t="shared" si="11"/>
        <v/>
      </c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F22" s="43">
        <f t="shared" si="2"/>
        <v>0</v>
      </c>
      <c r="BG22" s="206"/>
      <c r="BH22" s="206"/>
      <c r="BI22" s="206"/>
      <c r="BJ22" s="206"/>
      <c r="BK22" s="206"/>
      <c r="BL22" s="206"/>
      <c r="BM22" s="206"/>
      <c r="BN22" s="147"/>
      <c r="BO22" s="206"/>
    </row>
    <row r="23" spans="1:73" s="129" customFormat="1" ht="12" x14ac:dyDescent="0.25">
      <c r="A23" s="43"/>
      <c r="B23" s="228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 t="str">
        <f t="shared" si="3"/>
        <v/>
      </c>
      <c r="AI23" s="43" t="str">
        <f t="shared" si="4"/>
        <v/>
      </c>
      <c r="AJ23" s="43" t="str">
        <f t="shared" si="5"/>
        <v/>
      </c>
      <c r="AK23" s="43">
        <f t="shared" si="6"/>
        <v>0</v>
      </c>
      <c r="AL23" s="43" t="str">
        <f t="shared" si="7"/>
        <v/>
      </c>
      <c r="AM23" s="43" t="str">
        <f t="shared" si="8"/>
        <v/>
      </c>
      <c r="AN23" s="43"/>
      <c r="AO23" s="43" t="str">
        <f t="shared" si="9"/>
        <v/>
      </c>
      <c r="AP23" s="43" t="str">
        <f t="shared" si="10"/>
        <v/>
      </c>
      <c r="AQ23" s="43"/>
      <c r="AR23" s="43"/>
      <c r="AS23" s="43"/>
      <c r="AT23" s="43" t="str">
        <f t="shared" si="11"/>
        <v/>
      </c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F23" s="43">
        <f t="shared" si="2"/>
        <v>0</v>
      </c>
      <c r="BG23" s="206"/>
      <c r="BH23" s="206"/>
      <c r="BI23" s="206"/>
      <c r="BJ23" s="206"/>
      <c r="BK23" s="206"/>
      <c r="BL23" s="206"/>
      <c r="BM23" s="206"/>
      <c r="BN23" s="147"/>
      <c r="BO23" s="206"/>
    </row>
    <row r="24" spans="1:73" s="129" customFormat="1" ht="12" x14ac:dyDescent="0.25">
      <c r="A24" s="43"/>
      <c r="B24" s="228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 t="str">
        <f t="shared" si="3"/>
        <v/>
      </c>
      <c r="AI24" s="43" t="str">
        <f t="shared" si="4"/>
        <v/>
      </c>
      <c r="AJ24" s="43" t="str">
        <f t="shared" si="5"/>
        <v/>
      </c>
      <c r="AK24" s="43">
        <f t="shared" si="6"/>
        <v>0</v>
      </c>
      <c r="AL24" s="43" t="str">
        <f t="shared" si="7"/>
        <v/>
      </c>
      <c r="AM24" s="43" t="str">
        <f t="shared" si="8"/>
        <v/>
      </c>
      <c r="AN24" s="43"/>
      <c r="AO24" s="43" t="str">
        <f t="shared" si="9"/>
        <v/>
      </c>
      <c r="AP24" s="43" t="str">
        <f t="shared" si="10"/>
        <v/>
      </c>
      <c r="AQ24" s="43"/>
      <c r="AR24" s="43"/>
      <c r="AS24" s="43"/>
      <c r="AT24" s="43" t="str">
        <f t="shared" si="11"/>
        <v/>
      </c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F24" s="43">
        <f t="shared" si="2"/>
        <v>0</v>
      </c>
      <c r="BG24" s="206"/>
      <c r="BH24" s="206"/>
      <c r="BI24" s="206"/>
      <c r="BJ24" s="206"/>
      <c r="BK24" s="206"/>
      <c r="BM24" s="206"/>
      <c r="BN24" s="147"/>
      <c r="BO24" s="206"/>
    </row>
    <row r="25" spans="1:73" s="129" customFormat="1" ht="12" x14ac:dyDescent="0.25">
      <c r="A25" s="43"/>
      <c r="B25" s="228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 t="str">
        <f t="shared" si="3"/>
        <v/>
      </c>
      <c r="AI25" s="43" t="str">
        <f t="shared" si="4"/>
        <v/>
      </c>
      <c r="AJ25" s="43" t="str">
        <f t="shared" si="5"/>
        <v/>
      </c>
      <c r="AK25" s="43">
        <f t="shared" si="6"/>
        <v>0</v>
      </c>
      <c r="AL25" s="43" t="str">
        <f t="shared" si="7"/>
        <v/>
      </c>
      <c r="AM25" s="43" t="str">
        <f t="shared" si="8"/>
        <v/>
      </c>
      <c r="AN25" s="43"/>
      <c r="AO25" s="43" t="str">
        <f t="shared" si="9"/>
        <v/>
      </c>
      <c r="AP25" s="43" t="str">
        <f t="shared" si="10"/>
        <v/>
      </c>
      <c r="AQ25" s="43"/>
      <c r="AR25" s="43"/>
      <c r="AS25" s="43"/>
      <c r="AT25" s="43" t="str">
        <f t="shared" si="11"/>
        <v/>
      </c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F25" s="43">
        <f t="shared" si="2"/>
        <v>0</v>
      </c>
      <c r="BG25" s="206"/>
      <c r="BI25" s="206"/>
      <c r="BJ25" s="206"/>
      <c r="BL25" s="206"/>
      <c r="BM25" s="206"/>
      <c r="BN25" s="147"/>
      <c r="BO25" s="206"/>
    </row>
    <row r="26" spans="1:73" s="129" customFormat="1" ht="12" x14ac:dyDescent="0.25">
      <c r="A26" s="43"/>
      <c r="B26" s="228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 t="str">
        <f t="shared" si="3"/>
        <v/>
      </c>
      <c r="AI26" s="43" t="str">
        <f t="shared" si="4"/>
        <v/>
      </c>
      <c r="AJ26" s="43" t="str">
        <f t="shared" si="5"/>
        <v/>
      </c>
      <c r="AK26" s="43">
        <f t="shared" si="6"/>
        <v>0</v>
      </c>
      <c r="AL26" s="43" t="str">
        <f t="shared" si="7"/>
        <v/>
      </c>
      <c r="AM26" s="43" t="str">
        <f t="shared" si="8"/>
        <v/>
      </c>
      <c r="AN26" s="43"/>
      <c r="AO26" s="43" t="str">
        <f t="shared" si="9"/>
        <v/>
      </c>
      <c r="AP26" s="43" t="str">
        <f t="shared" si="10"/>
        <v/>
      </c>
      <c r="AQ26" s="43"/>
      <c r="AR26" s="43"/>
      <c r="AS26" s="43"/>
      <c r="AT26" s="43" t="str">
        <f t="shared" si="11"/>
        <v/>
      </c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F26" s="43">
        <f t="shared" si="2"/>
        <v>0</v>
      </c>
      <c r="BG26" s="206"/>
      <c r="BH26" s="206"/>
      <c r="BI26" s="206"/>
      <c r="BJ26" s="206"/>
      <c r="BK26" s="206"/>
      <c r="BL26" s="206"/>
      <c r="BM26" s="206"/>
      <c r="BN26" s="147"/>
      <c r="BO26" s="206"/>
    </row>
    <row r="27" spans="1:73" s="129" customFormat="1" ht="12" x14ac:dyDescent="0.25">
      <c r="A27" s="43"/>
      <c r="B27" s="250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 t="str">
        <f t="shared" si="3"/>
        <v/>
      </c>
      <c r="AI27" s="43" t="str">
        <f t="shared" si="4"/>
        <v/>
      </c>
      <c r="AJ27" s="43" t="str">
        <f t="shared" si="5"/>
        <v/>
      </c>
      <c r="AK27" s="43">
        <f t="shared" si="6"/>
        <v>0</v>
      </c>
      <c r="AL27" s="43" t="str">
        <f t="shared" si="7"/>
        <v/>
      </c>
      <c r="AM27" s="43" t="str">
        <f t="shared" si="8"/>
        <v/>
      </c>
      <c r="AN27" s="43"/>
      <c r="AO27" s="43" t="str">
        <f t="shared" si="9"/>
        <v/>
      </c>
      <c r="AP27" s="43" t="str">
        <f t="shared" si="10"/>
        <v/>
      </c>
      <c r="AQ27" s="43"/>
      <c r="AR27" s="43"/>
      <c r="AS27" s="43"/>
      <c r="AT27" s="43" t="str">
        <f t="shared" si="11"/>
        <v/>
      </c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F27" s="43">
        <f t="shared" si="2"/>
        <v>0</v>
      </c>
      <c r="BG27" s="206"/>
      <c r="BH27" s="206"/>
      <c r="BI27" s="206"/>
      <c r="BJ27" s="206"/>
      <c r="BK27" s="206"/>
      <c r="BL27" s="206"/>
      <c r="BM27" s="206"/>
      <c r="BN27" s="147"/>
      <c r="BO27" s="206"/>
    </row>
    <row r="28" spans="1:73" s="129" customFormat="1" ht="12" x14ac:dyDescent="0.25">
      <c r="A28" s="43"/>
      <c r="B28" s="201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 t="str">
        <f t="shared" si="3"/>
        <v/>
      </c>
      <c r="AI28" s="43" t="str">
        <f t="shared" si="4"/>
        <v/>
      </c>
      <c r="AJ28" s="43" t="str">
        <f t="shared" si="5"/>
        <v/>
      </c>
      <c r="AK28" s="43">
        <f t="shared" si="6"/>
        <v>0</v>
      </c>
      <c r="AL28" s="43" t="str">
        <f t="shared" si="7"/>
        <v/>
      </c>
      <c r="AM28" s="43" t="str">
        <f t="shared" si="8"/>
        <v/>
      </c>
      <c r="AN28" s="43"/>
      <c r="AO28" s="43" t="str">
        <f t="shared" si="9"/>
        <v/>
      </c>
      <c r="AP28" s="43" t="str">
        <f t="shared" si="10"/>
        <v/>
      </c>
      <c r="AQ28" s="43"/>
      <c r="AR28" s="43"/>
      <c r="AS28" s="43"/>
      <c r="AT28" s="43" t="str">
        <f t="shared" si="11"/>
        <v/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F28" s="43">
        <f t="shared" si="2"/>
        <v>0</v>
      </c>
      <c r="BG28" s="206"/>
      <c r="BH28" s="206"/>
      <c r="BI28" s="206"/>
      <c r="BJ28" s="206"/>
      <c r="BK28" s="206"/>
      <c r="BL28" s="206"/>
      <c r="BM28" s="206"/>
      <c r="BN28" s="147"/>
      <c r="BO28" s="206"/>
    </row>
    <row r="29" spans="1:73" s="129" customFormat="1" ht="12" x14ac:dyDescent="0.25">
      <c r="A29" s="43"/>
      <c r="B29" s="201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 t="str">
        <f t="shared" si="3"/>
        <v/>
      </c>
      <c r="AI29" s="43" t="str">
        <f t="shared" si="4"/>
        <v/>
      </c>
      <c r="AJ29" s="43" t="str">
        <f t="shared" si="5"/>
        <v/>
      </c>
      <c r="AK29" s="43">
        <f t="shared" si="6"/>
        <v>0</v>
      </c>
      <c r="AL29" s="43" t="str">
        <f t="shared" si="7"/>
        <v/>
      </c>
      <c r="AM29" s="43" t="str">
        <f t="shared" si="8"/>
        <v/>
      </c>
      <c r="AN29" s="43"/>
      <c r="AO29" s="43" t="str">
        <f t="shared" si="9"/>
        <v/>
      </c>
      <c r="AP29" s="43" t="str">
        <f t="shared" si="10"/>
        <v/>
      </c>
      <c r="AQ29" s="43"/>
      <c r="AR29" s="43"/>
      <c r="AS29" s="43"/>
      <c r="AT29" s="43" t="str">
        <f t="shared" si="11"/>
        <v/>
      </c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F29" s="43">
        <f t="shared" si="2"/>
        <v>0</v>
      </c>
      <c r="BG29" s="256"/>
      <c r="BH29" s="256"/>
      <c r="BI29" s="256"/>
      <c r="BJ29" s="256"/>
      <c r="BK29" s="256"/>
      <c r="BL29" s="206"/>
      <c r="BM29" s="206"/>
      <c r="BN29" s="147"/>
      <c r="BO29" s="256"/>
      <c r="BR29" s="252"/>
      <c r="BS29" s="252"/>
      <c r="BT29" s="252"/>
      <c r="BU29" s="252"/>
    </row>
    <row r="30" spans="1:73" s="129" customFormat="1" ht="13.5" customHeight="1" x14ac:dyDescent="0.25">
      <c r="A30" s="43"/>
      <c r="B30" s="201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 t="str">
        <f t="shared" si="3"/>
        <v/>
      </c>
      <c r="AI30" s="43" t="str">
        <f t="shared" si="4"/>
        <v/>
      </c>
      <c r="AJ30" s="43" t="str">
        <f t="shared" si="5"/>
        <v/>
      </c>
      <c r="AK30" s="43">
        <f t="shared" si="6"/>
        <v>0</v>
      </c>
      <c r="AL30" s="43" t="str">
        <f t="shared" si="7"/>
        <v/>
      </c>
      <c r="AM30" s="43" t="str">
        <f t="shared" si="8"/>
        <v/>
      </c>
      <c r="AN30" s="43"/>
      <c r="AO30" s="43" t="str">
        <f t="shared" si="9"/>
        <v/>
      </c>
      <c r="AP30" s="43" t="str">
        <f t="shared" si="10"/>
        <v/>
      </c>
      <c r="AQ30" s="43"/>
      <c r="AR30" s="43"/>
      <c r="AS30" s="43"/>
      <c r="AT30" s="43" t="str">
        <f t="shared" si="11"/>
        <v/>
      </c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F30" s="43">
        <f t="shared" si="2"/>
        <v>0</v>
      </c>
      <c r="BG30" s="256"/>
      <c r="BH30" s="256"/>
      <c r="BI30" s="256"/>
      <c r="BJ30" s="256"/>
      <c r="BK30" s="256"/>
      <c r="BL30" s="256"/>
      <c r="BM30" s="256"/>
      <c r="BN30" s="147"/>
      <c r="BO30" s="256"/>
      <c r="BR30" s="252"/>
      <c r="BS30" s="252"/>
      <c r="BT30" s="252"/>
      <c r="BU30" s="252"/>
    </row>
    <row r="31" spans="1:73" s="129" customFormat="1" ht="12" x14ac:dyDescent="0.25">
      <c r="A31" s="43"/>
      <c r="B31" s="54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 t="str">
        <f t="shared" si="3"/>
        <v/>
      </c>
      <c r="AI31" s="43" t="str">
        <f t="shared" si="4"/>
        <v/>
      </c>
      <c r="AJ31" s="43" t="str">
        <f t="shared" si="5"/>
        <v/>
      </c>
      <c r="AK31" s="43">
        <f t="shared" si="6"/>
        <v>0</v>
      </c>
      <c r="AL31" s="43" t="str">
        <f t="shared" si="7"/>
        <v/>
      </c>
      <c r="AM31" s="43" t="str">
        <f t="shared" si="8"/>
        <v/>
      </c>
      <c r="AN31" s="43"/>
      <c r="AO31" s="43" t="str">
        <f t="shared" si="9"/>
        <v/>
      </c>
      <c r="AP31" s="43" t="str">
        <f t="shared" si="10"/>
        <v/>
      </c>
      <c r="AQ31" s="43"/>
      <c r="AR31" s="43"/>
      <c r="AS31" s="43"/>
      <c r="AT31" s="43" t="str">
        <f t="shared" si="11"/>
        <v/>
      </c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F31" s="43">
        <f t="shared" si="2"/>
        <v>0</v>
      </c>
      <c r="BG31" s="256"/>
      <c r="BH31" s="256"/>
      <c r="BI31" s="256"/>
      <c r="BJ31" s="256"/>
      <c r="BK31" s="256"/>
      <c r="BL31" s="206"/>
      <c r="BM31" s="206"/>
      <c r="BN31" s="147"/>
      <c r="BO31" s="256"/>
      <c r="BR31" s="252"/>
      <c r="BS31" s="252"/>
      <c r="BT31" s="252"/>
      <c r="BU31" s="252"/>
    </row>
    <row r="32" spans="1:73" s="129" customFormat="1" ht="12" x14ac:dyDescent="0.25">
      <c r="A32" s="43"/>
      <c r="B32" s="201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 t="str">
        <f t="shared" si="3"/>
        <v/>
      </c>
      <c r="AI32" s="43" t="str">
        <f t="shared" si="4"/>
        <v/>
      </c>
      <c r="AJ32" s="43" t="str">
        <f t="shared" si="5"/>
        <v/>
      </c>
      <c r="AK32" s="43">
        <f t="shared" si="6"/>
        <v>0</v>
      </c>
      <c r="AL32" s="43" t="str">
        <f t="shared" si="7"/>
        <v/>
      </c>
      <c r="AM32" s="43" t="str">
        <f t="shared" si="8"/>
        <v/>
      </c>
      <c r="AN32" s="43"/>
      <c r="AO32" s="43" t="str">
        <f t="shared" si="9"/>
        <v/>
      </c>
      <c r="AP32" s="43" t="str">
        <f t="shared" si="10"/>
        <v/>
      </c>
      <c r="AQ32" s="43"/>
      <c r="AR32" s="43"/>
      <c r="AS32" s="43"/>
      <c r="AT32" s="43" t="str">
        <f t="shared" si="11"/>
        <v/>
      </c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F32" s="43">
        <f t="shared" si="2"/>
        <v>0</v>
      </c>
      <c r="BG32" s="256"/>
      <c r="BH32" s="256"/>
      <c r="BI32" s="256"/>
      <c r="BJ32" s="256"/>
      <c r="BK32" s="256"/>
      <c r="BL32" s="256"/>
      <c r="BM32" s="256"/>
      <c r="BN32" s="147"/>
      <c r="BO32" s="256"/>
      <c r="BR32" s="252"/>
      <c r="BS32" s="252"/>
      <c r="BT32" s="252"/>
      <c r="BU32" s="252"/>
    </row>
    <row r="33" spans="1:67" s="129" customFormat="1" ht="12" x14ac:dyDescent="0.25">
      <c r="A33" s="43"/>
      <c r="B33" s="224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 t="str">
        <f t="shared" si="3"/>
        <v/>
      </c>
      <c r="AI33" s="43" t="str">
        <f t="shared" si="4"/>
        <v/>
      </c>
      <c r="AJ33" s="43" t="str">
        <f t="shared" si="5"/>
        <v/>
      </c>
      <c r="AK33" s="43">
        <f t="shared" si="6"/>
        <v>0</v>
      </c>
      <c r="AL33" s="43" t="str">
        <f t="shared" si="7"/>
        <v/>
      </c>
      <c r="AM33" s="43" t="str">
        <f t="shared" si="8"/>
        <v/>
      </c>
      <c r="AN33" s="43"/>
      <c r="AO33" s="43" t="str">
        <f t="shared" si="9"/>
        <v/>
      </c>
      <c r="AP33" s="43" t="str">
        <f t="shared" si="10"/>
        <v/>
      </c>
      <c r="AQ33" s="43"/>
      <c r="AR33" s="43"/>
      <c r="AS33" s="43"/>
      <c r="AT33" s="43" t="str">
        <f t="shared" si="11"/>
        <v/>
      </c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F33" s="43">
        <f t="shared" si="2"/>
        <v>0</v>
      </c>
      <c r="BG33" s="206"/>
      <c r="BH33" s="206"/>
      <c r="BI33" s="206"/>
      <c r="BJ33" s="206"/>
      <c r="BK33" s="206"/>
      <c r="BL33" s="206"/>
      <c r="BM33" s="206"/>
      <c r="BN33" s="147"/>
      <c r="BO33" s="206"/>
    </row>
    <row r="34" spans="1:67" s="129" customFormat="1" ht="12" x14ac:dyDescent="0.25">
      <c r="A34" s="43"/>
      <c r="B34" s="224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 t="str">
        <f t="shared" si="3"/>
        <v/>
      </c>
      <c r="AI34" s="43" t="str">
        <f t="shared" si="4"/>
        <v/>
      </c>
      <c r="AJ34" s="43" t="str">
        <f t="shared" si="5"/>
        <v/>
      </c>
      <c r="AK34" s="43">
        <f t="shared" si="6"/>
        <v>0</v>
      </c>
      <c r="AL34" s="43" t="str">
        <f t="shared" si="7"/>
        <v/>
      </c>
      <c r="AM34" s="43" t="str">
        <f t="shared" si="8"/>
        <v/>
      </c>
      <c r="AN34" s="43"/>
      <c r="AO34" s="43" t="str">
        <f t="shared" si="9"/>
        <v/>
      </c>
      <c r="AP34" s="43" t="str">
        <f t="shared" si="10"/>
        <v/>
      </c>
      <c r="AQ34" s="43"/>
      <c r="AR34" s="43"/>
      <c r="AS34" s="43"/>
      <c r="AT34" s="43" t="str">
        <f t="shared" si="11"/>
        <v/>
      </c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F34" s="43">
        <f t="shared" si="2"/>
        <v>0</v>
      </c>
      <c r="BG34" s="206"/>
      <c r="BH34" s="206"/>
      <c r="BI34" s="206"/>
      <c r="BJ34" s="206"/>
      <c r="BK34" s="206"/>
      <c r="BL34" s="206"/>
      <c r="BM34" s="206"/>
      <c r="BN34" s="147"/>
      <c r="BO34" s="206"/>
    </row>
    <row r="35" spans="1:67" s="133" customFormat="1" ht="12" x14ac:dyDescent="0.25">
      <c r="B35" s="137"/>
      <c r="C35" s="129"/>
      <c r="D35" s="129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38"/>
      <c r="R35" s="138"/>
      <c r="S35" s="138"/>
      <c r="T35" s="138"/>
      <c r="U35" s="138"/>
      <c r="V35" s="138"/>
      <c r="W35" s="138"/>
      <c r="X35" s="138"/>
      <c r="Y35" s="138"/>
      <c r="Z35" s="138"/>
      <c r="AA35" s="138"/>
      <c r="AB35" s="138"/>
      <c r="AC35" s="138"/>
      <c r="AD35" s="138"/>
      <c r="AE35" s="138"/>
      <c r="AF35" s="138"/>
      <c r="AG35" s="138"/>
      <c r="AH35" s="138"/>
      <c r="AI35" s="138"/>
      <c r="AJ35" s="138"/>
      <c r="AK35" s="138"/>
      <c r="AL35" s="138"/>
      <c r="AM35" s="138"/>
      <c r="AN35" s="138"/>
      <c r="AO35" s="138"/>
      <c r="AP35" s="138"/>
      <c r="AQ35" s="138"/>
      <c r="AR35" s="138"/>
      <c r="AS35" s="138"/>
      <c r="AT35" s="138"/>
      <c r="AU35" s="138"/>
      <c r="AV35" s="138"/>
      <c r="AW35" s="138"/>
      <c r="AX35" s="138"/>
      <c r="AY35" s="138"/>
      <c r="AZ35" s="138"/>
      <c r="BA35" s="138"/>
      <c r="BB35" s="138"/>
      <c r="BC35" s="138"/>
      <c r="BD35" s="138"/>
      <c r="BE35" s="138"/>
      <c r="BF35" s="138"/>
      <c r="BG35" s="138"/>
      <c r="BH35" s="138"/>
      <c r="BI35" s="138"/>
      <c r="BJ35" s="138"/>
      <c r="BK35" s="138"/>
      <c r="BL35" s="138"/>
      <c r="BM35" s="138"/>
      <c r="BN35" s="138"/>
      <c r="BO35" s="138"/>
    </row>
    <row r="36" spans="1:67" x14ac:dyDescent="0.25">
      <c r="D36" s="6"/>
    </row>
    <row r="37" spans="1:67" s="6" customFormat="1" ht="13.5" customHeight="1" x14ac:dyDescent="0.25"/>
    <row r="38" spans="1:67" s="6" customFormat="1" ht="12" x14ac:dyDescent="0.25"/>
    <row r="39" spans="1:67" s="6" customFormat="1" ht="13.5" customHeight="1" x14ac:dyDescent="0.25"/>
    <row r="40" spans="1:67" s="6" customFormat="1" ht="12" x14ac:dyDescent="0.25"/>
    <row r="41" spans="1:67" s="6" customFormat="1" ht="13.5" customHeight="1" x14ac:dyDescent="0.25"/>
    <row r="42" spans="1:67" s="6" customFormat="1" ht="12" x14ac:dyDescent="0.25"/>
    <row r="43" spans="1:67" s="6" customFormat="1" ht="12" x14ac:dyDescent="0.25"/>
    <row r="44" spans="1:67" s="6" customFormat="1" ht="12" x14ac:dyDescent="0.25"/>
    <row r="45" spans="1:67" s="6" customFormat="1" ht="12" x14ac:dyDescent="0.25"/>
    <row r="46" spans="1:67" s="6" customFormat="1" ht="12" x14ac:dyDescent="0.25"/>
    <row r="47" spans="1:67" s="6" customFormat="1" ht="12" x14ac:dyDescent="0.25"/>
    <row r="48" spans="1:67" s="6" customFormat="1" ht="12" x14ac:dyDescent="0.25"/>
    <row r="49" spans="3:4" s="6" customFormat="1" ht="12" x14ac:dyDescent="0.25"/>
    <row r="50" spans="3:4" s="6" customFormat="1" ht="12" x14ac:dyDescent="0.25"/>
    <row r="51" spans="3:4" s="6" customFormat="1" ht="12" x14ac:dyDescent="0.25"/>
    <row r="52" spans="3:4" s="6" customFormat="1" ht="12" x14ac:dyDescent="0.25"/>
    <row r="53" spans="3:4" s="6" customFormat="1" ht="12" x14ac:dyDescent="0.25"/>
    <row r="54" spans="3:4" s="6" customFormat="1" ht="12" x14ac:dyDescent="0.25"/>
    <row r="55" spans="3:4" s="6" customFormat="1" ht="12" x14ac:dyDescent="0.25"/>
    <row r="56" spans="3:4" s="6" customFormat="1" ht="12" x14ac:dyDescent="0.25"/>
    <row r="57" spans="3:4" s="6" customFormat="1" x14ac:dyDescent="0.25">
      <c r="C57" s="98"/>
      <c r="D57" s="98"/>
    </row>
    <row r="58" spans="3:4" s="6" customFormat="1" x14ac:dyDescent="0.25">
      <c r="C58" s="98"/>
      <c r="D58" s="98"/>
    </row>
    <row r="59" spans="3:4" s="6" customFormat="1" x14ac:dyDescent="0.25">
      <c r="C59" s="98"/>
      <c r="D59" s="98"/>
    </row>
    <row r="60" spans="3:4" s="6" customFormat="1" x14ac:dyDescent="0.25">
      <c r="C60" s="98"/>
      <c r="D60" s="98"/>
    </row>
    <row r="61" spans="3:4" s="6" customFormat="1" x14ac:dyDescent="0.25">
      <c r="C61" s="98"/>
      <c r="D61" s="98"/>
    </row>
    <row r="62" spans="3:4" s="6" customFormat="1" x14ac:dyDescent="0.25">
      <c r="C62" s="98"/>
      <c r="D62" s="98"/>
    </row>
  </sheetData>
  <autoFilter ref="BG4:BN35" xr:uid="{00000000-0009-0000-0000-000007000000}"/>
  <dataConsolidate/>
  <mergeCells count="10">
    <mergeCell ref="AH3:AJ3"/>
    <mergeCell ref="BF3:BF4"/>
    <mergeCell ref="E3:E4"/>
    <mergeCell ref="F3:F4"/>
    <mergeCell ref="A3:A4"/>
    <mergeCell ref="B3:B4"/>
    <mergeCell ref="C3:C4"/>
    <mergeCell ref="D3:D4"/>
    <mergeCell ref="G3:J3"/>
    <mergeCell ref="K3:AG3"/>
  </mergeCells>
  <phoneticPr fontId="4" type="noConversion"/>
  <conditionalFormatting sqref="B31">
    <cfRule type="expression" dxfId="19" priority="7" stopIfTrue="1">
      <formula>$FE$695&gt;0</formula>
    </cfRule>
    <cfRule type="expression" dxfId="18" priority="8" stopIfTrue="1">
      <formula>$FF$695&gt;0</formula>
    </cfRule>
  </conditionalFormatting>
  <pageMargins left="0.27559055118110237" right="0.19685039370078741" top="0.27559055118110237" bottom="0.35433070866141736" header="0.31496062992125984" footer="0.35433070866141736"/>
  <pageSetup paperSize="9" scale="95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HD37"/>
  <sheetViews>
    <sheetView topLeftCell="C1" zoomScaleNormal="100" workbookViewId="0">
      <selection activeCell="AL21" sqref="AL21"/>
    </sheetView>
  </sheetViews>
  <sheetFormatPr defaultRowHeight="13.2" x14ac:dyDescent="0.25"/>
  <cols>
    <col min="1" max="1" width="3.33203125" customWidth="1"/>
    <col min="2" max="2" width="44.33203125" customWidth="1"/>
    <col min="3" max="3" width="12.109375" bestFit="1" customWidth="1"/>
    <col min="4" max="4" width="4.6640625" bestFit="1" customWidth="1"/>
    <col min="5" max="5" width="2.33203125" customWidth="1"/>
    <col min="6" max="6" width="3.44140625" bestFit="1" customWidth="1"/>
    <col min="7" max="7" width="3.5546875" customWidth="1"/>
    <col min="8" max="8" width="2.88671875" customWidth="1"/>
    <col min="9" max="9" width="2.33203125" customWidth="1"/>
    <col min="10" max="10" width="4.44140625" customWidth="1"/>
    <col min="11" max="13" width="2.5546875" customWidth="1"/>
    <col min="14" max="14" width="2.33203125" customWidth="1"/>
    <col min="15" max="15" width="2.5546875" customWidth="1"/>
    <col min="16" max="16" width="2.88671875" bestFit="1" customWidth="1"/>
    <col min="17" max="17" width="2.5546875" customWidth="1"/>
    <col min="18" max="18" width="2.33203125" customWidth="1"/>
    <col min="19" max="22" width="2.5546875" customWidth="1"/>
    <col min="23" max="23" width="2.33203125" customWidth="1"/>
    <col min="24" max="33" width="2.5546875" customWidth="1"/>
    <col min="34" max="34" width="3.88671875" customWidth="1"/>
    <col min="35" max="35" width="3.5546875" customWidth="1"/>
    <col min="36" max="36" width="3.33203125" customWidth="1"/>
    <col min="37" max="37" width="4.33203125" customWidth="1"/>
    <col min="38" max="38" width="3.5546875" customWidth="1"/>
    <col min="39" max="39" width="3.88671875" customWidth="1"/>
    <col min="40" max="40" width="3.33203125" customWidth="1"/>
    <col min="41" max="41" width="4.44140625" customWidth="1"/>
    <col min="42" max="42" width="4.33203125" customWidth="1"/>
    <col min="43" max="43" width="3.6640625" customWidth="1"/>
    <col min="44" max="44" width="2.88671875" customWidth="1"/>
    <col min="45" max="45" width="3.6640625" customWidth="1"/>
    <col min="46" max="46" width="4.88671875" bestFit="1" customWidth="1"/>
    <col min="47" max="47" width="3.44140625" customWidth="1"/>
    <col min="48" max="48" width="3.5546875" customWidth="1"/>
    <col min="49" max="49" width="3.44140625" customWidth="1"/>
    <col min="50" max="57" width="4" customWidth="1"/>
    <col min="58" max="58" width="6.44140625" customWidth="1"/>
  </cols>
  <sheetData>
    <row r="1" spans="1:60" s="25" customFormat="1" x14ac:dyDescent="0.25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4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9.8" thickBot="1" x14ac:dyDescent="0.3">
      <c r="A3" s="318" t="s">
        <v>1</v>
      </c>
      <c r="B3" s="300" t="s">
        <v>2</v>
      </c>
      <c r="C3" s="322" t="s">
        <v>3</v>
      </c>
      <c r="D3" s="304" t="s">
        <v>77</v>
      </c>
      <c r="E3" s="304" t="s">
        <v>40</v>
      </c>
      <c r="F3" s="324" t="s">
        <v>4</v>
      </c>
      <c r="G3" s="316" t="s">
        <v>5</v>
      </c>
      <c r="H3" s="316"/>
      <c r="I3" s="316"/>
      <c r="J3" s="317"/>
      <c r="K3" s="292" t="s">
        <v>46</v>
      </c>
      <c r="L3" s="293"/>
      <c r="M3" s="293"/>
      <c r="N3" s="293"/>
      <c r="O3" s="293"/>
      <c r="P3" s="293"/>
      <c r="Q3" s="293"/>
      <c r="R3" s="293"/>
      <c r="S3" s="293"/>
      <c r="T3" s="293"/>
      <c r="U3" s="293"/>
      <c r="V3" s="293"/>
      <c r="W3" s="293"/>
      <c r="X3" s="293"/>
      <c r="Y3" s="293"/>
      <c r="Z3" s="293"/>
      <c r="AA3" s="293"/>
      <c r="AB3" s="293"/>
      <c r="AC3" s="293"/>
      <c r="AD3" s="293"/>
      <c r="AE3" s="293"/>
      <c r="AF3" s="293"/>
      <c r="AG3" s="294"/>
      <c r="AH3" s="314" t="s">
        <v>56</v>
      </c>
      <c r="AI3" s="314"/>
      <c r="AJ3" s="314"/>
      <c r="AK3" s="5" t="s">
        <v>6</v>
      </c>
      <c r="AL3" s="5" t="s">
        <v>93</v>
      </c>
      <c r="AM3" s="5" t="s">
        <v>48</v>
      </c>
      <c r="AN3" s="5" t="s">
        <v>49</v>
      </c>
      <c r="AO3" s="5" t="s">
        <v>7</v>
      </c>
      <c r="AP3" s="5" t="s">
        <v>22</v>
      </c>
      <c r="AQ3" s="4" t="s">
        <v>8</v>
      </c>
      <c r="AR3" s="4" t="s">
        <v>57</v>
      </c>
      <c r="AS3" s="4" t="s">
        <v>24</v>
      </c>
      <c r="AT3" s="38" t="s">
        <v>28</v>
      </c>
      <c r="AU3" s="38" t="s">
        <v>29</v>
      </c>
      <c r="AV3" s="4" t="s">
        <v>9</v>
      </c>
      <c r="AW3" s="4" t="s">
        <v>30</v>
      </c>
      <c r="AX3" s="4" t="s">
        <v>33</v>
      </c>
      <c r="AY3" s="4" t="s">
        <v>34</v>
      </c>
      <c r="AZ3" s="4" t="s">
        <v>35</v>
      </c>
      <c r="BA3" s="4" t="s">
        <v>36</v>
      </c>
      <c r="BB3" s="4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2.4" x14ac:dyDescent="0.25">
      <c r="A4" s="319"/>
      <c r="B4" s="301"/>
      <c r="C4" s="323"/>
      <c r="D4" s="305"/>
      <c r="E4" s="305"/>
      <c r="F4" s="325"/>
      <c r="G4" s="14" t="s">
        <v>11</v>
      </c>
      <c r="H4" s="14" t="s">
        <v>12</v>
      </c>
      <c r="I4" s="14" t="s">
        <v>13</v>
      </c>
      <c r="J4" s="16" t="s">
        <v>14</v>
      </c>
      <c r="K4" s="30" t="s">
        <v>43</v>
      </c>
      <c r="L4" s="24" t="s">
        <v>44</v>
      </c>
      <c r="M4" s="31" t="s">
        <v>45</v>
      </c>
      <c r="N4" s="7" t="s">
        <v>47</v>
      </c>
      <c r="O4" s="7" t="s">
        <v>48</v>
      </c>
      <c r="P4" s="7" t="s">
        <v>49</v>
      </c>
      <c r="Q4" s="7" t="s">
        <v>7</v>
      </c>
      <c r="R4" s="7" t="s">
        <v>22</v>
      </c>
      <c r="S4" s="7" t="s">
        <v>50</v>
      </c>
      <c r="T4" s="7" t="s">
        <v>51</v>
      </c>
      <c r="U4" s="7" t="s">
        <v>52</v>
      </c>
      <c r="V4" s="7" t="s">
        <v>53</v>
      </c>
      <c r="W4" s="7" t="s">
        <v>29</v>
      </c>
      <c r="X4" s="7" t="s">
        <v>9</v>
      </c>
      <c r="Y4" s="7" t="s">
        <v>54</v>
      </c>
      <c r="Z4" s="7" t="s">
        <v>55</v>
      </c>
      <c r="AA4" s="7" t="s">
        <v>34</v>
      </c>
      <c r="AB4" s="7" t="s">
        <v>35</v>
      </c>
      <c r="AC4" s="7" t="s">
        <v>36</v>
      </c>
      <c r="AD4" s="7" t="s">
        <v>37</v>
      </c>
      <c r="AE4" s="7" t="s">
        <v>59</v>
      </c>
      <c r="AF4" s="7" t="s">
        <v>60</v>
      </c>
      <c r="AG4" s="15" t="s">
        <v>62</v>
      </c>
      <c r="AH4" s="5" t="s">
        <v>43</v>
      </c>
      <c r="AI4" s="5" t="s">
        <v>44</v>
      </c>
      <c r="AJ4" s="5" t="s">
        <v>45</v>
      </c>
      <c r="AK4" s="5" t="s">
        <v>42</v>
      </c>
      <c r="AL4" s="5" t="s">
        <v>15</v>
      </c>
      <c r="AM4" s="5" t="s">
        <v>16</v>
      </c>
      <c r="AN4" s="5" t="s">
        <v>15</v>
      </c>
      <c r="AO4" s="5" t="s">
        <v>17</v>
      </c>
      <c r="AP4" s="5" t="s">
        <v>18</v>
      </c>
      <c r="AQ4" s="5" t="s">
        <v>23</v>
      </c>
      <c r="AR4" s="5" t="s">
        <v>19</v>
      </c>
      <c r="AS4" s="5" t="s">
        <v>25</v>
      </c>
      <c r="AT4" s="5" t="s">
        <v>92</v>
      </c>
      <c r="AU4" s="5" t="s">
        <v>31</v>
      </c>
      <c r="AV4" s="5" t="s">
        <v>32</v>
      </c>
      <c r="AW4" s="5" t="s">
        <v>27</v>
      </c>
      <c r="AX4" s="5" t="s">
        <v>96</v>
      </c>
      <c r="AY4" s="5" t="s">
        <v>20</v>
      </c>
      <c r="AZ4" s="5" t="s">
        <v>26</v>
      </c>
      <c r="BA4" s="5" t="s">
        <v>20</v>
      </c>
      <c r="BB4" s="5" t="s">
        <v>38</v>
      </c>
      <c r="BC4" s="5" t="s">
        <v>58</v>
      </c>
      <c r="BD4" s="5" t="s">
        <v>61</v>
      </c>
      <c r="BE4" s="94" t="s">
        <v>63</v>
      </c>
      <c r="BF4" s="108" t="s">
        <v>76</v>
      </c>
    </row>
    <row r="5" spans="1:60" x14ac:dyDescent="0.25">
      <c r="A5" s="20"/>
      <c r="B5" s="21" t="s">
        <v>78</v>
      </c>
      <c r="C5" s="7"/>
      <c r="D5" s="198"/>
      <c r="E5" s="13"/>
      <c r="F5" s="14"/>
      <c r="G5" s="14"/>
      <c r="H5" s="14"/>
      <c r="I5" s="14"/>
      <c r="J5" s="16"/>
      <c r="K5" s="209"/>
      <c r="L5" s="200"/>
      <c r="M5" s="210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15"/>
      <c r="AL5" s="16"/>
      <c r="AM5" s="7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6"/>
      <c r="BF5" s="67">
        <f>SUM(BF6:BF30)</f>
        <v>0</v>
      </c>
      <c r="BG5">
        <v>0.22222222222222221</v>
      </c>
      <c r="BH5">
        <v>1050</v>
      </c>
    </row>
    <row r="6" spans="1:60" s="129" customFormat="1" ht="12.75" customHeight="1" x14ac:dyDescent="0.25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>IF(M6&lt;&gt;"",M6*H6*J6,"")</f>
        <v/>
      </c>
      <c r="AK6" s="88">
        <f>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129" customFormat="1" ht="12" x14ac:dyDescent="0.25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37" si="0">IF(K7&lt;&gt;"",H7*K7,"")</f>
        <v/>
      </c>
      <c r="AI7" s="88" t="str">
        <f t="shared" ref="AI7:AI28" si="1">IF(L7&lt;&gt;"",H7*L7,"")</f>
        <v/>
      </c>
      <c r="AJ7" s="88" t="str">
        <f t="shared" ref="AJ7:AJ27" si="2">IF(M7&lt;&gt;"",M7*H7*J7,"")</f>
        <v/>
      </c>
      <c r="AK7" s="88">
        <f t="shared" ref="AK7:AK28" si="3">IF(E7="з",0.15,0.05)*IF(AH7&lt;&gt;"",AH7,0)+2*IF(N7=1,1,0)</f>
        <v>0</v>
      </c>
      <c r="AL7" s="88" t="str">
        <f t="shared" ref="AL7:AL28" si="4">IF(N7&lt;&gt;"",0.33*G7,"")</f>
        <v/>
      </c>
      <c r="AM7" s="88" t="str">
        <f t="shared" ref="AM7:AM37" si="5">IF(O7="+",0.25*G7,IF(O7="+Д",G7*0.33,""))</f>
        <v/>
      </c>
      <c r="AN7" s="88"/>
      <c r="AO7" s="88" t="str">
        <f t="shared" ref="AO7:AO37" si="6">IF(Q7&lt;&gt;"",2*G7,"")</f>
        <v/>
      </c>
      <c r="AP7" s="88" t="str">
        <f t="shared" ref="AP7:AP37" si="7">IF(R7&lt;&gt;"",3*H7,"")</f>
        <v/>
      </c>
      <c r="AQ7" s="88"/>
      <c r="AR7" s="88"/>
      <c r="AS7" s="88"/>
      <c r="AT7" s="88" t="str">
        <f t="shared" ref="AT7:AT37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129" customFormat="1" ht="12" x14ac:dyDescent="0.25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129" customFormat="1" ht="12" x14ac:dyDescent="0.25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252"/>
    </row>
    <row r="10" spans="1:60" s="129" customFormat="1" ht="13.5" customHeight="1" x14ac:dyDescent="0.25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252"/>
    </row>
    <row r="11" spans="1:60" s="129" customFormat="1" ht="12" x14ac:dyDescent="0.25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129" customFormat="1" x14ac:dyDescent="0.25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129" customFormat="1" x14ac:dyDescent="0.25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129" customFormat="1" x14ac:dyDescent="0.25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129" customFormat="1" ht="14.25" customHeight="1" x14ac:dyDescent="0.25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129" customFormat="1" ht="12" x14ac:dyDescent="0.25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s="207" customFormat="1" x14ac:dyDescent="0.25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253"/>
      <c r="BH17" s="253"/>
      <c r="BI17" s="253"/>
      <c r="BJ17" s="253"/>
      <c r="BK17" s="253"/>
      <c r="BL17" s="253"/>
      <c r="BM17" s="253"/>
      <c r="BN17" s="253"/>
      <c r="BO17" s="253"/>
      <c r="BP17" s="253"/>
      <c r="BQ17" s="253"/>
      <c r="BR17" s="253"/>
      <c r="BS17" s="253"/>
      <c r="BT17" s="253"/>
      <c r="BU17" s="253"/>
      <c r="BV17" s="253"/>
      <c r="BW17" s="253"/>
      <c r="BX17" s="253"/>
      <c r="BY17" s="253"/>
      <c r="BZ17" s="253"/>
      <c r="CA17" s="253"/>
      <c r="CB17" s="253"/>
      <c r="CC17" s="253"/>
      <c r="CD17" s="253"/>
      <c r="CE17" s="253"/>
      <c r="CF17" s="253"/>
      <c r="CG17" s="253"/>
      <c r="CH17" s="253"/>
      <c r="CI17" s="253"/>
      <c r="CJ17" s="253"/>
      <c r="CK17" s="253"/>
      <c r="CL17" s="253"/>
      <c r="CM17" s="253"/>
      <c r="CN17" s="253"/>
      <c r="CO17" s="253"/>
      <c r="CP17" s="253"/>
      <c r="CQ17" s="253"/>
      <c r="CR17" s="253"/>
      <c r="CS17" s="253"/>
      <c r="CT17" s="253"/>
      <c r="CU17" s="253"/>
      <c r="CV17" s="253"/>
      <c r="CW17" s="253"/>
      <c r="CX17" s="253"/>
      <c r="CY17" s="253"/>
      <c r="CZ17" s="253"/>
      <c r="DA17" s="253"/>
      <c r="DB17" s="253"/>
      <c r="DC17" s="253"/>
      <c r="DD17" s="253"/>
      <c r="DE17" s="253"/>
      <c r="DF17" s="253"/>
      <c r="DG17" s="253"/>
      <c r="DH17" s="253"/>
      <c r="DI17" s="253"/>
      <c r="DJ17" s="253"/>
      <c r="DK17" s="253"/>
      <c r="DL17" s="253"/>
      <c r="DM17" s="253"/>
      <c r="DN17" s="253"/>
      <c r="DO17" s="253"/>
      <c r="DP17" s="253"/>
      <c r="DQ17" s="253"/>
      <c r="DR17" s="253"/>
      <c r="DS17" s="253"/>
      <c r="DT17" s="253"/>
      <c r="DU17" s="253"/>
      <c r="DV17" s="253"/>
      <c r="DW17" s="253"/>
      <c r="DX17" s="253"/>
      <c r="DY17" s="253"/>
      <c r="DZ17" s="253"/>
      <c r="EA17" s="253"/>
      <c r="EB17" s="253"/>
      <c r="EC17" s="253"/>
      <c r="ED17" s="253"/>
      <c r="EE17" s="253"/>
      <c r="EF17" s="253"/>
      <c r="EG17" s="253"/>
      <c r="EH17" s="253"/>
      <c r="EI17" s="253"/>
      <c r="EJ17" s="253"/>
      <c r="EK17" s="253"/>
      <c r="EL17" s="253"/>
      <c r="EM17" s="253"/>
      <c r="EN17" s="253"/>
      <c r="EO17" s="253"/>
      <c r="EP17" s="253"/>
      <c r="EQ17" s="253"/>
      <c r="ER17" s="253"/>
      <c r="ES17" s="253"/>
      <c r="ET17" s="253"/>
      <c r="EU17" s="253"/>
      <c r="EV17" s="253"/>
      <c r="EW17" s="253"/>
      <c r="EX17" s="253"/>
      <c r="EY17" s="253"/>
      <c r="EZ17" s="253"/>
      <c r="FA17" s="253"/>
      <c r="FB17" s="253"/>
      <c r="FC17" s="253"/>
      <c r="FD17" s="253"/>
      <c r="FE17" s="253"/>
      <c r="FF17" s="253"/>
      <c r="FG17" s="253"/>
      <c r="FH17" s="253"/>
      <c r="FI17" s="253"/>
      <c r="FJ17" s="253"/>
      <c r="FK17" s="253"/>
      <c r="FL17" s="253"/>
      <c r="FM17" s="253"/>
      <c r="FN17" s="253"/>
      <c r="FO17" s="253"/>
      <c r="FP17" s="253"/>
      <c r="FQ17" s="253"/>
      <c r="FR17" s="253"/>
      <c r="FS17" s="253"/>
      <c r="FT17" s="253"/>
      <c r="FU17" s="253"/>
      <c r="FV17" s="253"/>
      <c r="FW17" s="253"/>
      <c r="FX17" s="253"/>
      <c r="FY17" s="253"/>
      <c r="FZ17" s="253"/>
      <c r="GA17" s="253"/>
      <c r="GB17" s="253"/>
      <c r="GC17" s="253"/>
      <c r="GD17" s="253"/>
      <c r="GE17" s="253"/>
      <c r="GF17" s="253"/>
      <c r="GG17" s="253"/>
      <c r="GH17" s="253"/>
      <c r="GI17" s="253"/>
      <c r="GJ17" s="253"/>
      <c r="GK17" s="253"/>
      <c r="GL17" s="253"/>
      <c r="GM17" s="253"/>
      <c r="GN17" s="253"/>
      <c r="GO17" s="253"/>
      <c r="GP17" s="253"/>
      <c r="GQ17" s="253"/>
      <c r="GR17" s="253"/>
      <c r="GS17" s="253"/>
      <c r="GT17" s="253"/>
      <c r="GU17" s="253"/>
      <c r="GV17" s="253"/>
      <c r="GW17" s="253"/>
      <c r="GX17" s="253"/>
      <c r="GY17" s="253"/>
      <c r="GZ17" s="253"/>
      <c r="HA17" s="253"/>
      <c r="HB17" s="253"/>
      <c r="HC17" s="253"/>
      <c r="HD17" s="253"/>
    </row>
    <row r="18" spans="1:212" s="207" customFormat="1" x14ac:dyDescent="0.25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129"/>
      <c r="BH18" s="129"/>
      <c r="BI18" s="129"/>
      <c r="BJ18" s="129"/>
      <c r="BK18" s="129"/>
      <c r="BL18" s="129"/>
      <c r="BM18" s="129"/>
      <c r="BN18" s="129"/>
      <c r="BO18" s="129"/>
      <c r="BP18" s="129"/>
      <c r="BQ18" s="129"/>
      <c r="BR18" s="129"/>
      <c r="BS18" s="129"/>
      <c r="BT18" s="129"/>
      <c r="BU18" s="129"/>
      <c r="BV18" s="129"/>
      <c r="BW18" s="129"/>
      <c r="BX18" s="129"/>
      <c r="BY18" s="129"/>
      <c r="BZ18" s="129"/>
      <c r="CA18" s="129"/>
      <c r="CB18" s="129"/>
      <c r="CC18" s="129"/>
      <c r="CD18" s="129"/>
      <c r="CE18" s="129"/>
      <c r="CF18" s="129"/>
      <c r="CG18" s="129"/>
      <c r="CH18" s="129"/>
      <c r="CI18" s="129"/>
      <c r="CJ18" s="129"/>
      <c r="CK18" s="129"/>
      <c r="CL18" s="129"/>
      <c r="CM18" s="129"/>
      <c r="CN18" s="129"/>
      <c r="CO18" s="129"/>
      <c r="CP18" s="129"/>
      <c r="CQ18" s="129"/>
      <c r="CR18" s="129"/>
      <c r="CS18" s="129"/>
      <c r="CT18" s="129"/>
      <c r="CU18" s="129"/>
      <c r="CV18" s="129"/>
      <c r="CW18" s="129"/>
      <c r="CX18" s="129"/>
      <c r="CY18" s="129"/>
      <c r="CZ18" s="129"/>
      <c r="DA18" s="129"/>
      <c r="DB18" s="129"/>
      <c r="DC18" s="129"/>
      <c r="DD18" s="129"/>
      <c r="DE18" s="129"/>
      <c r="DF18" s="129"/>
      <c r="DG18" s="129"/>
      <c r="DH18" s="129"/>
      <c r="DI18" s="129"/>
      <c r="DJ18" s="129"/>
      <c r="DK18" s="129"/>
      <c r="DL18" s="129"/>
      <c r="DM18" s="129"/>
      <c r="DN18" s="129"/>
      <c r="DO18" s="129"/>
      <c r="DP18" s="129"/>
      <c r="DQ18" s="129"/>
      <c r="DR18" s="129"/>
      <c r="DS18" s="129"/>
      <c r="DT18" s="129"/>
      <c r="DU18" s="129"/>
      <c r="DV18" s="129"/>
      <c r="DW18" s="129"/>
      <c r="DX18" s="129"/>
      <c r="DY18" s="129"/>
      <c r="DZ18" s="129"/>
      <c r="EA18" s="129"/>
      <c r="EB18" s="129"/>
      <c r="EC18" s="129"/>
      <c r="ED18" s="129"/>
      <c r="EE18" s="129"/>
      <c r="EF18" s="129"/>
      <c r="EG18" s="129"/>
      <c r="EH18" s="129"/>
      <c r="EI18" s="129"/>
      <c r="EJ18" s="129"/>
      <c r="EK18" s="129"/>
      <c r="EL18" s="129"/>
      <c r="EM18" s="129"/>
      <c r="EN18" s="129"/>
      <c r="EO18" s="129"/>
      <c r="EP18" s="129"/>
      <c r="EQ18" s="129"/>
      <c r="ER18" s="129"/>
      <c r="ES18" s="129"/>
      <c r="ET18" s="129"/>
      <c r="EU18" s="129"/>
      <c r="EV18" s="129"/>
      <c r="EW18" s="129"/>
      <c r="EX18" s="129"/>
      <c r="EY18" s="129"/>
      <c r="EZ18" s="129"/>
      <c r="FA18" s="129"/>
      <c r="FB18" s="129"/>
      <c r="FC18" s="129"/>
      <c r="FD18" s="129"/>
      <c r="FE18" s="129"/>
      <c r="FF18" s="129"/>
      <c r="FG18" s="129"/>
      <c r="FH18" s="129"/>
      <c r="FI18" s="129"/>
      <c r="FJ18" s="129"/>
      <c r="FK18" s="129"/>
      <c r="FL18" s="129"/>
      <c r="FM18" s="129"/>
      <c r="FN18" s="129"/>
      <c r="FO18" s="129"/>
      <c r="FP18" s="129"/>
      <c r="FQ18" s="129"/>
      <c r="FR18" s="129"/>
      <c r="FS18" s="129"/>
      <c r="FT18" s="129"/>
      <c r="FU18" s="129"/>
      <c r="FV18" s="129"/>
      <c r="FW18" s="129"/>
      <c r="FX18" s="129"/>
      <c r="FY18" s="129"/>
      <c r="FZ18" s="129"/>
      <c r="GA18" s="129"/>
      <c r="GB18" s="129"/>
      <c r="GC18" s="129"/>
      <c r="GD18" s="129"/>
      <c r="GE18" s="129"/>
      <c r="GF18" s="129"/>
      <c r="GG18" s="129"/>
      <c r="GH18" s="129"/>
      <c r="GI18" s="129"/>
      <c r="GJ18" s="129"/>
      <c r="GK18" s="129"/>
      <c r="GL18" s="129"/>
      <c r="GM18" s="129"/>
      <c r="GN18" s="129"/>
      <c r="GO18" s="129"/>
      <c r="GP18" s="129"/>
      <c r="GQ18" s="129"/>
      <c r="GR18" s="129"/>
      <c r="GS18" s="129"/>
      <c r="GT18" s="129"/>
      <c r="GU18" s="129"/>
      <c r="GV18" s="129"/>
      <c r="GW18" s="129"/>
      <c r="GX18" s="129"/>
      <c r="GY18" s="129"/>
      <c r="GZ18" s="129"/>
      <c r="HA18" s="129"/>
      <c r="HB18" s="129"/>
      <c r="HC18" s="129"/>
      <c r="HD18" s="129"/>
    </row>
    <row r="19" spans="1:212" s="207" customFormat="1" x14ac:dyDescent="0.25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</row>
    <row r="20" spans="1:212" s="207" customFormat="1" x14ac:dyDescent="0.25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129" customFormat="1" ht="12" x14ac:dyDescent="0.25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254"/>
      <c r="BI21" s="254"/>
      <c r="BJ21" s="254"/>
      <c r="BK21" s="206"/>
      <c r="BL21" s="206"/>
      <c r="BM21" s="206"/>
      <c r="BN21" s="206"/>
      <c r="BO21" s="147">
        <f t="array" ref="BO21">BF21-SUM(BH21:BN21)</f>
        <v>0</v>
      </c>
      <c r="BP21" s="206"/>
    </row>
    <row r="22" spans="1:212" s="129" customFormat="1" ht="13.5" customHeight="1" x14ac:dyDescent="0.25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s="207" customFormat="1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s="207" customFormat="1" x14ac:dyDescent="0.25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129" customFormat="1" ht="12" x14ac:dyDescent="0.25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s="207" customFormat="1" x14ac:dyDescent="0.25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129" customFormat="1" ht="12" x14ac:dyDescent="0.25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129" customFormat="1" ht="12" x14ac:dyDescent="0.25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 t="shared" si="1"/>
        <v/>
      </c>
      <c r="AJ28" s="88" t="str">
        <f>IF(M28&lt;&gt;"",M28*H28*J28,"")</f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  <row r="29" spans="1:212" s="207" customFormat="1" x14ac:dyDescent="0.25">
      <c r="AH29" s="206" t="str">
        <f t="shared" si="0"/>
        <v/>
      </c>
      <c r="AI29" s="206" t="str">
        <f t="shared" ref="AI29:AI37" si="10">IF(L29&lt;&gt;"",H29*L29,"")</f>
        <v/>
      </c>
      <c r="AJ29" s="206" t="str">
        <f t="shared" ref="AJ29:AJ37" si="11">IF(M29&lt;&gt;"",M29*H29,"")</f>
        <v/>
      </c>
      <c r="AK29" s="206" t="str">
        <f t="shared" ref="AK29:AK37" si="12" xml:space="preserve"> IF(N29&lt;&gt;"", 0.05*K29+2,"")</f>
        <v/>
      </c>
      <c r="AL29" s="206" t="str">
        <f t="shared" ref="AL29:AL37" si="13">IF(N29&lt;&gt;"",0.4*G29,"")</f>
        <v/>
      </c>
      <c r="AM29" s="206" t="str">
        <f t="shared" si="5"/>
        <v/>
      </c>
      <c r="AN29" s="206"/>
      <c r="AO29" s="206" t="str">
        <f t="shared" si="6"/>
        <v/>
      </c>
      <c r="AP29" s="206" t="str">
        <f t="shared" si="7"/>
        <v/>
      </c>
      <c r="AQ29" s="206"/>
      <c r="AR29" s="206"/>
      <c r="AS29" s="206"/>
      <c r="AT29" s="206" t="str">
        <f t="shared" si="8"/>
        <v/>
      </c>
      <c r="AU29" s="206"/>
      <c r="AV29" s="206"/>
      <c r="AW29" s="206"/>
      <c r="AX29" s="206"/>
      <c r="AY29" s="206"/>
      <c r="AZ29" s="206"/>
      <c r="BA29" s="206"/>
      <c r="BB29" s="206"/>
      <c r="BC29" s="206"/>
      <c r="BD29" s="206"/>
      <c r="BE29" s="206"/>
    </row>
    <row r="30" spans="1:212" s="207" customFormat="1" x14ac:dyDescent="0.25">
      <c r="AH30" s="206" t="str">
        <f t="shared" si="0"/>
        <v/>
      </c>
      <c r="AI30" s="206" t="str">
        <f t="shared" si="10"/>
        <v/>
      </c>
      <c r="AJ30" s="206" t="str">
        <f t="shared" si="11"/>
        <v/>
      </c>
      <c r="AK30" s="206" t="str">
        <f t="shared" si="12"/>
        <v/>
      </c>
      <c r="AL30" s="206" t="str">
        <f t="shared" si="13"/>
        <v/>
      </c>
      <c r="AM30" s="206" t="str">
        <f t="shared" si="5"/>
        <v/>
      </c>
      <c r="AN30" s="206"/>
      <c r="AO30" s="206" t="str">
        <f t="shared" si="6"/>
        <v/>
      </c>
      <c r="AP30" s="206" t="str">
        <f t="shared" si="7"/>
        <v/>
      </c>
      <c r="AQ30" s="206"/>
      <c r="AR30" s="206"/>
      <c r="AS30" s="206"/>
      <c r="AT30" s="206" t="str">
        <f t="shared" si="8"/>
        <v/>
      </c>
      <c r="AU30" s="206"/>
      <c r="AV30" s="206"/>
      <c r="AW30" s="206"/>
      <c r="AX30" s="206"/>
      <c r="AY30" s="206"/>
      <c r="AZ30" s="206"/>
      <c r="BA30" s="206"/>
      <c r="BB30" s="206"/>
      <c r="BC30" s="206"/>
      <c r="BD30" s="206"/>
      <c r="BE30" s="206"/>
    </row>
    <row r="31" spans="1:212" s="207" customFormat="1" x14ac:dyDescent="0.25">
      <c r="AH31" s="206" t="str">
        <f t="shared" si="0"/>
        <v/>
      </c>
      <c r="AI31" s="206" t="str">
        <f t="shared" si="10"/>
        <v/>
      </c>
      <c r="AJ31" s="206" t="str">
        <f t="shared" si="11"/>
        <v/>
      </c>
      <c r="AK31" s="206" t="str">
        <f t="shared" si="12"/>
        <v/>
      </c>
      <c r="AL31" s="206" t="str">
        <f t="shared" si="13"/>
        <v/>
      </c>
      <c r="AM31" s="206" t="str">
        <f t="shared" si="5"/>
        <v/>
      </c>
      <c r="AN31" s="206"/>
      <c r="AO31" s="206" t="str">
        <f t="shared" si="6"/>
        <v/>
      </c>
      <c r="AP31" s="206" t="str">
        <f t="shared" si="7"/>
        <v/>
      </c>
      <c r="AQ31" s="206"/>
      <c r="AR31" s="206"/>
      <c r="AS31" s="206"/>
      <c r="AT31" s="206" t="str">
        <f t="shared" si="8"/>
        <v/>
      </c>
      <c r="AU31" s="206"/>
      <c r="AV31" s="206"/>
      <c r="AW31" s="206"/>
      <c r="AX31" s="206"/>
      <c r="AY31" s="206"/>
      <c r="AZ31" s="206"/>
      <c r="BA31" s="206"/>
      <c r="BB31" s="206"/>
      <c r="BC31" s="206"/>
      <c r="BD31" s="206"/>
      <c r="BE31" s="206"/>
    </row>
    <row r="32" spans="1:212" s="207" customFormat="1" x14ac:dyDescent="0.25">
      <c r="AH32" s="206" t="str">
        <f t="shared" si="0"/>
        <v/>
      </c>
      <c r="AI32" s="206" t="str">
        <f t="shared" si="10"/>
        <v/>
      </c>
      <c r="AJ32" s="206" t="str">
        <f t="shared" si="11"/>
        <v/>
      </c>
      <c r="AK32" s="206" t="str">
        <f t="shared" si="12"/>
        <v/>
      </c>
      <c r="AL32" s="206" t="str">
        <f t="shared" si="13"/>
        <v/>
      </c>
      <c r="AM32" s="206" t="str">
        <f t="shared" si="5"/>
        <v/>
      </c>
      <c r="AN32" s="206"/>
      <c r="AO32" s="206" t="str">
        <f t="shared" si="6"/>
        <v/>
      </c>
      <c r="AP32" s="206" t="str">
        <f t="shared" si="7"/>
        <v/>
      </c>
      <c r="AQ32" s="206"/>
      <c r="AR32" s="206"/>
      <c r="AS32" s="206"/>
      <c r="AT32" s="206" t="str">
        <f t="shared" si="8"/>
        <v/>
      </c>
      <c r="AU32" s="206"/>
      <c r="AV32" s="206"/>
      <c r="AW32" s="206"/>
      <c r="AX32" s="206"/>
      <c r="AY32" s="206"/>
      <c r="AZ32" s="206"/>
      <c r="BA32" s="206"/>
      <c r="BB32" s="206"/>
      <c r="BC32" s="206"/>
      <c r="BD32" s="206"/>
      <c r="BE32" s="206"/>
      <c r="BG32" s="255"/>
    </row>
    <row r="33" spans="34:57" s="207" customFormat="1" x14ac:dyDescent="0.25">
      <c r="AH33" s="206" t="str">
        <f t="shared" si="0"/>
        <v/>
      </c>
      <c r="AI33" s="206" t="str">
        <f t="shared" si="10"/>
        <v/>
      </c>
      <c r="AJ33" s="206" t="str">
        <f t="shared" si="11"/>
        <v/>
      </c>
      <c r="AK33" s="206" t="str">
        <f t="shared" si="12"/>
        <v/>
      </c>
      <c r="AL33" s="206" t="str">
        <f t="shared" si="13"/>
        <v/>
      </c>
      <c r="AM33" s="206" t="str">
        <f t="shared" si="5"/>
        <v/>
      </c>
      <c r="AN33" s="206"/>
      <c r="AO33" s="206" t="str">
        <f t="shared" si="6"/>
        <v/>
      </c>
      <c r="AP33" s="206" t="str">
        <f t="shared" si="7"/>
        <v/>
      </c>
      <c r="AQ33" s="206"/>
      <c r="AR33" s="206"/>
      <c r="AS33" s="206"/>
      <c r="AT33" s="206" t="str">
        <f t="shared" si="8"/>
        <v/>
      </c>
      <c r="AU33" s="206"/>
      <c r="AV33" s="206"/>
      <c r="AW33" s="206"/>
      <c r="AX33" s="206"/>
      <c r="AY33" s="206"/>
      <c r="AZ33" s="206"/>
      <c r="BA33" s="206"/>
      <c r="BB33" s="206"/>
      <c r="BC33" s="206"/>
      <c r="BD33" s="206"/>
      <c r="BE33" s="206"/>
    </row>
    <row r="34" spans="34:57" s="207" customFormat="1" x14ac:dyDescent="0.25">
      <c r="AH34" s="206" t="str">
        <f t="shared" si="0"/>
        <v/>
      </c>
      <c r="AI34" s="206" t="str">
        <f t="shared" si="10"/>
        <v/>
      </c>
      <c r="AJ34" s="206" t="str">
        <f t="shared" si="11"/>
        <v/>
      </c>
      <c r="AK34" s="206" t="str">
        <f t="shared" si="12"/>
        <v/>
      </c>
      <c r="AL34" s="206" t="str">
        <f t="shared" si="13"/>
        <v/>
      </c>
      <c r="AM34" s="206" t="str">
        <f t="shared" si="5"/>
        <v/>
      </c>
      <c r="AN34" s="206"/>
      <c r="AO34" s="206" t="str">
        <f t="shared" si="6"/>
        <v/>
      </c>
      <c r="AP34" s="206" t="str">
        <f t="shared" si="7"/>
        <v/>
      </c>
      <c r="AQ34" s="206"/>
      <c r="AR34" s="206"/>
      <c r="AS34" s="206"/>
      <c r="AT34" s="206" t="str">
        <f t="shared" si="8"/>
        <v/>
      </c>
      <c r="AU34" s="206"/>
      <c r="AV34" s="206"/>
      <c r="AW34" s="206"/>
      <c r="AX34" s="206"/>
      <c r="AY34" s="206"/>
      <c r="AZ34" s="206"/>
      <c r="BA34" s="206"/>
      <c r="BB34" s="206"/>
      <c r="BC34" s="206"/>
      <c r="BD34" s="206"/>
      <c r="BE34" s="206"/>
    </row>
    <row r="35" spans="34:57" s="207" customFormat="1" x14ac:dyDescent="0.25">
      <c r="AH35" s="206" t="str">
        <f t="shared" si="0"/>
        <v/>
      </c>
      <c r="AI35" s="206" t="str">
        <f t="shared" si="10"/>
        <v/>
      </c>
      <c r="AJ35" s="206" t="str">
        <f t="shared" si="11"/>
        <v/>
      </c>
      <c r="AK35" s="206" t="str">
        <f t="shared" si="12"/>
        <v/>
      </c>
      <c r="AL35" s="206" t="str">
        <f t="shared" si="13"/>
        <v/>
      </c>
      <c r="AM35" s="206" t="str">
        <f t="shared" si="5"/>
        <v/>
      </c>
      <c r="AN35" s="206"/>
      <c r="AO35" s="206" t="str">
        <f t="shared" si="6"/>
        <v/>
      </c>
      <c r="AP35" s="206" t="str">
        <f t="shared" si="7"/>
        <v/>
      </c>
      <c r="AQ35" s="206"/>
      <c r="AR35" s="206"/>
      <c r="AS35" s="206"/>
      <c r="AT35" s="206" t="str">
        <f t="shared" si="8"/>
        <v/>
      </c>
      <c r="AU35" s="206"/>
      <c r="AV35" s="206"/>
      <c r="AW35" s="206"/>
      <c r="AX35" s="206"/>
      <c r="AY35" s="206"/>
      <c r="AZ35" s="206"/>
      <c r="BA35" s="206"/>
      <c r="BB35" s="206"/>
      <c r="BC35" s="206"/>
      <c r="BD35" s="206"/>
      <c r="BE35" s="206"/>
    </row>
    <row r="36" spans="34:57" s="207" customFormat="1" x14ac:dyDescent="0.25">
      <c r="AH36" s="206" t="str">
        <f t="shared" si="0"/>
        <v/>
      </c>
      <c r="AI36" s="206" t="str">
        <f t="shared" si="10"/>
        <v/>
      </c>
      <c r="AJ36" s="206" t="str">
        <f t="shared" si="11"/>
        <v/>
      </c>
      <c r="AK36" s="206" t="str">
        <f t="shared" si="12"/>
        <v/>
      </c>
      <c r="AL36" s="206" t="str">
        <f t="shared" si="13"/>
        <v/>
      </c>
      <c r="AM36" s="206" t="str">
        <f t="shared" si="5"/>
        <v/>
      </c>
      <c r="AN36" s="206"/>
      <c r="AO36" s="206" t="str">
        <f t="shared" si="6"/>
        <v/>
      </c>
      <c r="AP36" s="206" t="str">
        <f t="shared" si="7"/>
        <v/>
      </c>
      <c r="AQ36" s="206"/>
      <c r="AR36" s="206"/>
      <c r="AS36" s="206"/>
      <c r="AT36" s="206" t="str">
        <f t="shared" si="8"/>
        <v/>
      </c>
      <c r="AU36" s="206"/>
      <c r="AV36" s="206"/>
      <c r="AW36" s="206"/>
      <c r="AX36" s="206"/>
      <c r="AY36" s="206"/>
      <c r="AZ36" s="206"/>
      <c r="BA36" s="206"/>
      <c r="BB36" s="206"/>
      <c r="BC36" s="206"/>
      <c r="BD36" s="206"/>
      <c r="BE36" s="206"/>
    </row>
    <row r="37" spans="34:57" s="207" customFormat="1" x14ac:dyDescent="0.25">
      <c r="AH37" s="206" t="str">
        <f t="shared" si="0"/>
        <v/>
      </c>
      <c r="AI37" s="206" t="str">
        <f t="shared" si="10"/>
        <v/>
      </c>
      <c r="AJ37" s="206" t="str">
        <f t="shared" si="11"/>
        <v/>
      </c>
      <c r="AK37" s="206" t="str">
        <f t="shared" si="12"/>
        <v/>
      </c>
      <c r="AL37" s="206" t="str">
        <f t="shared" si="13"/>
        <v/>
      </c>
      <c r="AM37" s="206" t="str">
        <f t="shared" si="5"/>
        <v/>
      </c>
      <c r="AN37" s="206"/>
      <c r="AO37" s="206" t="str">
        <f t="shared" si="6"/>
        <v/>
      </c>
      <c r="AP37" s="206" t="str">
        <f t="shared" si="7"/>
        <v/>
      </c>
      <c r="AQ37" s="206"/>
      <c r="AR37" s="206"/>
      <c r="AS37" s="206"/>
      <c r="AT37" s="206" t="str">
        <f t="shared" si="8"/>
        <v/>
      </c>
      <c r="AU37" s="206"/>
      <c r="AV37" s="206"/>
      <c r="AW37" s="206"/>
      <c r="AX37" s="206"/>
      <c r="AY37" s="206"/>
      <c r="AZ37" s="206"/>
      <c r="BA37" s="206"/>
      <c r="BB37" s="206"/>
      <c r="BC37" s="206"/>
      <c r="BD37" s="206"/>
      <c r="BE37" s="206"/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17" priority="1" stopIfTrue="1">
      <formula>$FE$692&gt;0</formula>
    </cfRule>
    <cfRule type="expression" dxfId="16" priority="2" stopIfTrue="1">
      <formula>$FF$692&gt;0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HD37"/>
  <sheetViews>
    <sheetView topLeftCell="C1" zoomScaleNormal="100" workbookViewId="0">
      <selection activeCell="AI6" sqref="AI6:AI33"/>
    </sheetView>
  </sheetViews>
  <sheetFormatPr defaultRowHeight="13.2" x14ac:dyDescent="0.25"/>
  <cols>
    <col min="1" max="1" width="3.33203125" customWidth="1"/>
    <col min="2" max="2" width="44.33203125" customWidth="1"/>
    <col min="3" max="3" width="12.109375" bestFit="1" customWidth="1"/>
    <col min="4" max="4" width="4.6640625" bestFit="1" customWidth="1"/>
    <col min="5" max="5" width="2.33203125" customWidth="1"/>
    <col min="6" max="6" width="3.44140625" bestFit="1" customWidth="1"/>
    <col min="7" max="7" width="3.5546875" customWidth="1"/>
    <col min="8" max="8" width="2.88671875" customWidth="1"/>
    <col min="9" max="9" width="2.33203125" customWidth="1"/>
    <col min="10" max="10" width="4.44140625" customWidth="1"/>
    <col min="11" max="13" width="2.5546875" customWidth="1"/>
    <col min="14" max="14" width="2.33203125" customWidth="1"/>
    <col min="15" max="15" width="2.5546875" customWidth="1"/>
    <col min="16" max="16" width="2.88671875" bestFit="1" customWidth="1"/>
    <col min="17" max="17" width="2.5546875" customWidth="1"/>
    <col min="18" max="18" width="2.33203125" customWidth="1"/>
    <col min="19" max="22" width="2.5546875" customWidth="1"/>
    <col min="23" max="23" width="2.33203125" customWidth="1"/>
    <col min="24" max="33" width="2.5546875" customWidth="1"/>
    <col min="34" max="34" width="3.88671875" customWidth="1"/>
    <col min="35" max="35" width="3.5546875" customWidth="1"/>
    <col min="36" max="36" width="3.33203125" customWidth="1"/>
    <col min="37" max="37" width="4.33203125" customWidth="1"/>
    <col min="38" max="38" width="3.5546875" customWidth="1"/>
    <col min="39" max="39" width="3.88671875" customWidth="1"/>
    <col min="40" max="40" width="3.33203125" customWidth="1"/>
    <col min="41" max="41" width="4.44140625" customWidth="1"/>
    <col min="42" max="42" width="4.33203125" customWidth="1"/>
    <col min="43" max="43" width="3.6640625" customWidth="1"/>
    <col min="44" max="44" width="2.88671875" customWidth="1"/>
    <col min="45" max="45" width="3.6640625" customWidth="1"/>
    <col min="46" max="46" width="4.88671875" bestFit="1" customWidth="1"/>
    <col min="47" max="47" width="3.44140625" customWidth="1"/>
    <col min="48" max="48" width="3.5546875" customWidth="1"/>
    <col min="49" max="49" width="3.44140625" customWidth="1"/>
    <col min="50" max="57" width="4" customWidth="1"/>
    <col min="58" max="58" width="6.44140625" customWidth="1"/>
  </cols>
  <sheetData>
    <row r="1" spans="1:60" s="25" customFormat="1" x14ac:dyDescent="0.25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4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9.8" thickBot="1" x14ac:dyDescent="0.3">
      <c r="A3" s="318" t="s">
        <v>1</v>
      </c>
      <c r="B3" s="300" t="s">
        <v>2</v>
      </c>
      <c r="C3" s="322" t="s">
        <v>3</v>
      </c>
      <c r="D3" s="304" t="s">
        <v>77</v>
      </c>
      <c r="E3" s="304" t="s">
        <v>40</v>
      </c>
      <c r="F3" s="324" t="s">
        <v>4</v>
      </c>
      <c r="G3" s="316" t="s">
        <v>5</v>
      </c>
      <c r="H3" s="316"/>
      <c r="I3" s="316"/>
      <c r="J3" s="317"/>
      <c r="K3" s="292" t="s">
        <v>46</v>
      </c>
      <c r="L3" s="293"/>
      <c r="M3" s="293"/>
      <c r="N3" s="293"/>
      <c r="O3" s="293"/>
      <c r="P3" s="293"/>
      <c r="Q3" s="293"/>
      <c r="R3" s="293"/>
      <c r="S3" s="293"/>
      <c r="T3" s="293"/>
      <c r="U3" s="293"/>
      <c r="V3" s="293"/>
      <c r="W3" s="293"/>
      <c r="X3" s="293"/>
      <c r="Y3" s="293"/>
      <c r="Z3" s="293"/>
      <c r="AA3" s="293"/>
      <c r="AB3" s="293"/>
      <c r="AC3" s="293"/>
      <c r="AD3" s="293"/>
      <c r="AE3" s="293"/>
      <c r="AF3" s="293"/>
      <c r="AG3" s="294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2.4" x14ac:dyDescent="0.25">
      <c r="A4" s="319"/>
      <c r="B4" s="301"/>
      <c r="C4" s="323"/>
      <c r="D4" s="305"/>
      <c r="E4" s="305"/>
      <c r="F4" s="325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243</v>
      </c>
    </row>
    <row r="5" spans="1:60" x14ac:dyDescent="0.25">
      <c r="A5" s="20"/>
      <c r="B5" s="21" t="s">
        <v>78</v>
      </c>
      <c r="C5" s="193"/>
      <c r="D5" s="198"/>
      <c r="E5" s="192"/>
      <c r="F5" s="195"/>
      <c r="G5" s="195"/>
      <c r="H5" s="195"/>
      <c r="I5" s="195"/>
      <c r="J5" s="16"/>
      <c r="K5" s="209"/>
      <c r="L5" s="200"/>
      <c r="M5" s="210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16"/>
      <c r="BF5" s="67">
        <f>SUM(BF6:BF30)</f>
        <v>0</v>
      </c>
      <c r="BG5">
        <v>0.22222222222222221</v>
      </c>
      <c r="BH5">
        <v>1050</v>
      </c>
    </row>
    <row r="6" spans="1:60" s="129" customFormat="1" ht="12.75" customHeight="1" x14ac:dyDescent="0.25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>IF(M6&lt;&gt;"",M6*H6*J6,"")</f>
        <v/>
      </c>
      <c r="AK6" s="88">
        <f xml:space="preserve"> 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129" customFormat="1" ht="12" x14ac:dyDescent="0.25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37" si="0">IF(K7&lt;&gt;"",H7*K7,"")</f>
        <v/>
      </c>
      <c r="AI7" s="88" t="str">
        <f t="shared" ref="AI7:AI33" si="1">IF(L7&lt;&gt;"",H7*L7,"")</f>
        <v/>
      </c>
      <c r="AJ7" s="88" t="str">
        <f t="shared" ref="AJ7:AJ33" si="2">IF(M7&lt;&gt;"",M7*H7*J7,"")</f>
        <v/>
      </c>
      <c r="AK7" s="88">
        <f t="shared" ref="AK7:AK33" si="3" xml:space="preserve"> IF(E7="з",0.15,0.05)*IF(AH7&lt;&gt;"",AH7,0)+2*IF(N7=1,1,0)</f>
        <v>0</v>
      </c>
      <c r="AL7" s="88" t="str">
        <f t="shared" ref="AL7:AL33" si="4">IF(N7&lt;&gt;"",0.33*G7,"")</f>
        <v/>
      </c>
      <c r="AM7" s="88" t="str">
        <f t="shared" ref="AM7:AM37" si="5">IF(O7="+",0.25*G7,IF(O7="+Д",G7*0.33,""))</f>
        <v/>
      </c>
      <c r="AN7" s="88"/>
      <c r="AO7" s="88" t="str">
        <f t="shared" ref="AO7:AO37" si="6">IF(Q7&lt;&gt;"",2*G7,"")</f>
        <v/>
      </c>
      <c r="AP7" s="88" t="str">
        <f t="shared" ref="AP7:AP37" si="7">IF(R7&lt;&gt;"",3*H7,"")</f>
        <v/>
      </c>
      <c r="AQ7" s="88"/>
      <c r="AR7" s="88"/>
      <c r="AS7" s="88"/>
      <c r="AT7" s="88" t="str">
        <f t="shared" ref="AT7:AT37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129" customFormat="1" ht="12" x14ac:dyDescent="0.25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129" customFormat="1" ht="12" x14ac:dyDescent="0.25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252"/>
    </row>
    <row r="10" spans="1:60" s="129" customFormat="1" ht="13.5" customHeight="1" x14ac:dyDescent="0.25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252"/>
    </row>
    <row r="11" spans="1:60" s="129" customFormat="1" ht="12" x14ac:dyDescent="0.25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129" customFormat="1" x14ac:dyDescent="0.25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129" customFormat="1" x14ac:dyDescent="0.25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129" customFormat="1" x14ac:dyDescent="0.25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129" customFormat="1" ht="14.25" customHeight="1" x14ac:dyDescent="0.25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129" customFormat="1" ht="12" x14ac:dyDescent="0.25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s="207" customFormat="1" x14ac:dyDescent="0.25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253"/>
      <c r="BH17" s="253"/>
      <c r="BI17" s="253"/>
      <c r="BJ17" s="253"/>
      <c r="BK17" s="253"/>
      <c r="BL17" s="253"/>
      <c r="BM17" s="253"/>
      <c r="BN17" s="253"/>
      <c r="BO17" s="253"/>
      <c r="BP17" s="253"/>
      <c r="BQ17" s="253"/>
      <c r="BR17" s="253"/>
      <c r="BS17" s="253"/>
      <c r="BT17" s="253"/>
      <c r="BU17" s="253"/>
      <c r="BV17" s="253"/>
      <c r="BW17" s="253"/>
      <c r="BX17" s="253"/>
      <c r="BY17" s="253"/>
      <c r="BZ17" s="253"/>
      <c r="CA17" s="253"/>
      <c r="CB17" s="253"/>
      <c r="CC17" s="253"/>
      <c r="CD17" s="253"/>
      <c r="CE17" s="253"/>
      <c r="CF17" s="253"/>
      <c r="CG17" s="253"/>
      <c r="CH17" s="253"/>
      <c r="CI17" s="253"/>
      <c r="CJ17" s="253"/>
      <c r="CK17" s="253"/>
      <c r="CL17" s="253"/>
      <c r="CM17" s="253"/>
      <c r="CN17" s="253"/>
      <c r="CO17" s="253"/>
      <c r="CP17" s="253"/>
      <c r="CQ17" s="253"/>
      <c r="CR17" s="253"/>
      <c r="CS17" s="253"/>
      <c r="CT17" s="253"/>
      <c r="CU17" s="253"/>
      <c r="CV17" s="253"/>
      <c r="CW17" s="253"/>
      <c r="CX17" s="253"/>
      <c r="CY17" s="253"/>
      <c r="CZ17" s="253"/>
      <c r="DA17" s="253"/>
      <c r="DB17" s="253"/>
      <c r="DC17" s="253"/>
      <c r="DD17" s="253"/>
      <c r="DE17" s="253"/>
      <c r="DF17" s="253"/>
      <c r="DG17" s="253"/>
      <c r="DH17" s="253"/>
      <c r="DI17" s="253"/>
      <c r="DJ17" s="253"/>
      <c r="DK17" s="253"/>
      <c r="DL17" s="253"/>
      <c r="DM17" s="253"/>
      <c r="DN17" s="253"/>
      <c r="DO17" s="253"/>
      <c r="DP17" s="253"/>
      <c r="DQ17" s="253"/>
      <c r="DR17" s="253"/>
      <c r="DS17" s="253"/>
      <c r="DT17" s="253"/>
      <c r="DU17" s="253"/>
      <c r="DV17" s="253"/>
      <c r="DW17" s="253"/>
      <c r="DX17" s="253"/>
      <c r="DY17" s="253"/>
      <c r="DZ17" s="253"/>
      <c r="EA17" s="253"/>
      <c r="EB17" s="253"/>
      <c r="EC17" s="253"/>
      <c r="ED17" s="253"/>
      <c r="EE17" s="253"/>
      <c r="EF17" s="253"/>
      <c r="EG17" s="253"/>
      <c r="EH17" s="253"/>
      <c r="EI17" s="253"/>
      <c r="EJ17" s="253"/>
      <c r="EK17" s="253"/>
      <c r="EL17" s="253"/>
      <c r="EM17" s="253"/>
      <c r="EN17" s="253"/>
      <c r="EO17" s="253"/>
      <c r="EP17" s="253"/>
      <c r="EQ17" s="253"/>
      <c r="ER17" s="253"/>
      <c r="ES17" s="253"/>
      <c r="ET17" s="253"/>
      <c r="EU17" s="253"/>
      <c r="EV17" s="253"/>
      <c r="EW17" s="253"/>
      <c r="EX17" s="253"/>
      <c r="EY17" s="253"/>
      <c r="EZ17" s="253"/>
      <c r="FA17" s="253"/>
      <c r="FB17" s="253"/>
      <c r="FC17" s="253"/>
      <c r="FD17" s="253"/>
      <c r="FE17" s="253"/>
      <c r="FF17" s="253"/>
      <c r="FG17" s="253"/>
      <c r="FH17" s="253"/>
      <c r="FI17" s="253"/>
      <c r="FJ17" s="253"/>
      <c r="FK17" s="253"/>
      <c r="FL17" s="253"/>
      <c r="FM17" s="253"/>
      <c r="FN17" s="253"/>
      <c r="FO17" s="253"/>
      <c r="FP17" s="253"/>
      <c r="FQ17" s="253"/>
      <c r="FR17" s="253"/>
      <c r="FS17" s="253"/>
      <c r="FT17" s="253"/>
      <c r="FU17" s="253"/>
      <c r="FV17" s="253"/>
      <c r="FW17" s="253"/>
      <c r="FX17" s="253"/>
      <c r="FY17" s="253"/>
      <c r="FZ17" s="253"/>
      <c r="GA17" s="253"/>
      <c r="GB17" s="253"/>
      <c r="GC17" s="253"/>
      <c r="GD17" s="253"/>
      <c r="GE17" s="253"/>
      <c r="GF17" s="253"/>
      <c r="GG17" s="253"/>
      <c r="GH17" s="253"/>
      <c r="GI17" s="253"/>
      <c r="GJ17" s="253"/>
      <c r="GK17" s="253"/>
      <c r="GL17" s="253"/>
      <c r="GM17" s="253"/>
      <c r="GN17" s="253"/>
      <c r="GO17" s="253"/>
      <c r="GP17" s="253"/>
      <c r="GQ17" s="253"/>
      <c r="GR17" s="253"/>
      <c r="GS17" s="253"/>
      <c r="GT17" s="253"/>
      <c r="GU17" s="253"/>
      <c r="GV17" s="253"/>
      <c r="GW17" s="253"/>
      <c r="GX17" s="253"/>
      <c r="GY17" s="253"/>
      <c r="GZ17" s="253"/>
      <c r="HA17" s="253"/>
      <c r="HB17" s="253"/>
      <c r="HC17" s="253"/>
      <c r="HD17" s="253"/>
    </row>
    <row r="18" spans="1:212" s="207" customFormat="1" x14ac:dyDescent="0.25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129"/>
      <c r="BH18" s="129"/>
      <c r="BI18" s="129"/>
      <c r="BJ18" s="129"/>
      <c r="BK18" s="129"/>
      <c r="BL18" s="129"/>
      <c r="BM18" s="129"/>
      <c r="BN18" s="129"/>
      <c r="BO18" s="129"/>
      <c r="BP18" s="129"/>
      <c r="BQ18" s="129"/>
      <c r="BR18" s="129"/>
      <c r="BS18" s="129"/>
      <c r="BT18" s="129"/>
      <c r="BU18" s="129"/>
      <c r="BV18" s="129"/>
      <c r="BW18" s="129"/>
      <c r="BX18" s="129"/>
      <c r="BY18" s="129"/>
      <c r="BZ18" s="129"/>
      <c r="CA18" s="129"/>
      <c r="CB18" s="129"/>
      <c r="CC18" s="129"/>
      <c r="CD18" s="129"/>
      <c r="CE18" s="129"/>
      <c r="CF18" s="129"/>
      <c r="CG18" s="129"/>
      <c r="CH18" s="129"/>
      <c r="CI18" s="129"/>
      <c r="CJ18" s="129"/>
      <c r="CK18" s="129"/>
      <c r="CL18" s="129"/>
      <c r="CM18" s="129"/>
      <c r="CN18" s="129"/>
      <c r="CO18" s="129"/>
      <c r="CP18" s="129"/>
      <c r="CQ18" s="129"/>
      <c r="CR18" s="129"/>
      <c r="CS18" s="129"/>
      <c r="CT18" s="129"/>
      <c r="CU18" s="129"/>
      <c r="CV18" s="129"/>
      <c r="CW18" s="129"/>
      <c r="CX18" s="129"/>
      <c r="CY18" s="129"/>
      <c r="CZ18" s="129"/>
      <c r="DA18" s="129"/>
      <c r="DB18" s="129"/>
      <c r="DC18" s="129"/>
      <c r="DD18" s="129"/>
      <c r="DE18" s="129"/>
      <c r="DF18" s="129"/>
      <c r="DG18" s="129"/>
      <c r="DH18" s="129"/>
      <c r="DI18" s="129"/>
      <c r="DJ18" s="129"/>
      <c r="DK18" s="129"/>
      <c r="DL18" s="129"/>
      <c r="DM18" s="129"/>
      <c r="DN18" s="129"/>
      <c r="DO18" s="129"/>
      <c r="DP18" s="129"/>
      <c r="DQ18" s="129"/>
      <c r="DR18" s="129"/>
      <c r="DS18" s="129"/>
      <c r="DT18" s="129"/>
      <c r="DU18" s="129"/>
      <c r="DV18" s="129"/>
      <c r="DW18" s="129"/>
      <c r="DX18" s="129"/>
      <c r="DY18" s="129"/>
      <c r="DZ18" s="129"/>
      <c r="EA18" s="129"/>
      <c r="EB18" s="129"/>
      <c r="EC18" s="129"/>
      <c r="ED18" s="129"/>
      <c r="EE18" s="129"/>
      <c r="EF18" s="129"/>
      <c r="EG18" s="129"/>
      <c r="EH18" s="129"/>
      <c r="EI18" s="129"/>
      <c r="EJ18" s="129"/>
      <c r="EK18" s="129"/>
      <c r="EL18" s="129"/>
      <c r="EM18" s="129"/>
      <c r="EN18" s="129"/>
      <c r="EO18" s="129"/>
      <c r="EP18" s="129"/>
      <c r="EQ18" s="129"/>
      <c r="ER18" s="129"/>
      <c r="ES18" s="129"/>
      <c r="ET18" s="129"/>
      <c r="EU18" s="129"/>
      <c r="EV18" s="129"/>
      <c r="EW18" s="129"/>
      <c r="EX18" s="129"/>
      <c r="EY18" s="129"/>
      <c r="EZ18" s="129"/>
      <c r="FA18" s="129"/>
      <c r="FB18" s="129"/>
      <c r="FC18" s="129"/>
      <c r="FD18" s="129"/>
      <c r="FE18" s="129"/>
      <c r="FF18" s="129"/>
      <c r="FG18" s="129"/>
      <c r="FH18" s="129"/>
      <c r="FI18" s="129"/>
      <c r="FJ18" s="129"/>
      <c r="FK18" s="129"/>
      <c r="FL18" s="129"/>
      <c r="FM18" s="129"/>
      <c r="FN18" s="129"/>
      <c r="FO18" s="129"/>
      <c r="FP18" s="129"/>
      <c r="FQ18" s="129"/>
      <c r="FR18" s="129"/>
      <c r="FS18" s="129"/>
      <c r="FT18" s="129"/>
      <c r="FU18" s="129"/>
      <c r="FV18" s="129"/>
      <c r="FW18" s="129"/>
      <c r="FX18" s="129"/>
      <c r="FY18" s="129"/>
      <c r="FZ18" s="129"/>
      <c r="GA18" s="129"/>
      <c r="GB18" s="129"/>
      <c r="GC18" s="129"/>
      <c r="GD18" s="129"/>
      <c r="GE18" s="129"/>
      <c r="GF18" s="129"/>
      <c r="GG18" s="129"/>
      <c r="GH18" s="129"/>
      <c r="GI18" s="129"/>
      <c r="GJ18" s="129"/>
      <c r="GK18" s="129"/>
      <c r="GL18" s="129"/>
      <c r="GM18" s="129"/>
      <c r="GN18" s="129"/>
      <c r="GO18" s="129"/>
      <c r="GP18" s="129"/>
      <c r="GQ18" s="129"/>
      <c r="GR18" s="129"/>
      <c r="GS18" s="129"/>
      <c r="GT18" s="129"/>
      <c r="GU18" s="129"/>
      <c r="GV18" s="129"/>
      <c r="GW18" s="129"/>
      <c r="GX18" s="129"/>
      <c r="GY18" s="129"/>
      <c r="GZ18" s="129"/>
      <c r="HA18" s="129"/>
      <c r="HB18" s="129"/>
      <c r="HC18" s="129"/>
      <c r="HD18" s="129"/>
    </row>
    <row r="19" spans="1:212" s="207" customFormat="1" x14ac:dyDescent="0.25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</row>
    <row r="20" spans="1:212" s="207" customFormat="1" x14ac:dyDescent="0.25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129" customFormat="1" ht="12" x14ac:dyDescent="0.25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254"/>
      <c r="BI21" s="254"/>
      <c r="BJ21" s="254"/>
      <c r="BK21" s="206"/>
      <c r="BL21" s="206"/>
      <c r="BM21" s="206"/>
      <c r="BN21" s="206"/>
      <c r="BO21" s="147">
        <f t="array" ref="BO21">BF21-SUM(BH21:BN21)</f>
        <v>0</v>
      </c>
      <c r="BP21" s="206"/>
    </row>
    <row r="22" spans="1:212" s="129" customFormat="1" ht="12" x14ac:dyDescent="0.25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s="207" customFormat="1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s="207" customFormat="1" x14ac:dyDescent="0.25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129" customFormat="1" ht="12" x14ac:dyDescent="0.25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s="207" customFormat="1" x14ac:dyDescent="0.25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129" customFormat="1" ht="12" x14ac:dyDescent="0.25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129" customFormat="1" ht="12" x14ac:dyDescent="0.25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 t="shared" si="1"/>
        <v/>
      </c>
      <c r="AJ28" s="88" t="str">
        <f t="shared" si="2"/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  <row r="29" spans="1:212" s="207" customFormat="1" x14ac:dyDescent="0.25">
      <c r="A29" s="211"/>
      <c r="B29" s="211"/>
      <c r="C29" s="211"/>
      <c r="D29" s="211"/>
      <c r="E29" s="211"/>
      <c r="F29" s="211"/>
      <c r="G29" s="211"/>
      <c r="H29" s="211"/>
      <c r="I29" s="211"/>
      <c r="J29" s="211"/>
      <c r="K29" s="211"/>
      <c r="L29" s="211"/>
      <c r="M29" s="211"/>
      <c r="N29" s="211"/>
      <c r="O29" s="211"/>
      <c r="P29" s="211"/>
      <c r="Q29" s="211"/>
      <c r="R29" s="211"/>
      <c r="S29" s="211"/>
      <c r="T29" s="211"/>
      <c r="U29" s="211"/>
      <c r="V29" s="211"/>
      <c r="W29" s="211"/>
      <c r="X29" s="211"/>
      <c r="Y29" s="211"/>
      <c r="Z29" s="211"/>
      <c r="AA29" s="211"/>
      <c r="AB29" s="211"/>
      <c r="AC29" s="211"/>
      <c r="AD29" s="211"/>
      <c r="AE29" s="211"/>
      <c r="AF29" s="211"/>
      <c r="AG29" s="211"/>
      <c r="AH29" s="88" t="str">
        <f t="shared" si="0"/>
        <v/>
      </c>
      <c r="AI29" s="88" t="str">
        <f t="shared" si="1"/>
        <v/>
      </c>
      <c r="AJ29" s="88" t="str">
        <f t="shared" si="2"/>
        <v/>
      </c>
      <c r="AK29" s="88">
        <f t="shared" si="3"/>
        <v>0</v>
      </c>
      <c r="AL29" s="88" t="str">
        <f t="shared" si="4"/>
        <v/>
      </c>
      <c r="AM29" s="88" t="str">
        <f t="shared" si="5"/>
        <v/>
      </c>
      <c r="AN29" s="88"/>
      <c r="AO29" s="88" t="str">
        <f t="shared" si="6"/>
        <v/>
      </c>
      <c r="AP29" s="88" t="str">
        <f t="shared" si="7"/>
        <v/>
      </c>
      <c r="AQ29" s="88"/>
      <c r="AR29" s="88"/>
      <c r="AS29" s="88"/>
      <c r="AT29" s="88" t="str">
        <f t="shared" si="8"/>
        <v/>
      </c>
      <c r="AU29" s="88"/>
      <c r="AV29" s="88"/>
      <c r="AW29" s="88"/>
      <c r="AX29" s="88"/>
      <c r="AY29" s="88"/>
      <c r="AZ29" s="88"/>
      <c r="BA29" s="88"/>
      <c r="BB29" s="88"/>
      <c r="BC29" s="88"/>
      <c r="BD29" s="88"/>
      <c r="BE29" s="88"/>
      <c r="BF29" s="211"/>
    </row>
    <row r="30" spans="1:212" s="207" customFormat="1" x14ac:dyDescent="0.25">
      <c r="A30" s="211"/>
      <c r="B30" s="211"/>
      <c r="C30" s="211"/>
      <c r="D30" s="211"/>
      <c r="E30" s="211"/>
      <c r="F30" s="211"/>
      <c r="G30" s="211"/>
      <c r="H30" s="211"/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  <c r="Z30" s="211"/>
      <c r="AA30" s="211"/>
      <c r="AB30" s="211"/>
      <c r="AC30" s="211"/>
      <c r="AD30" s="211"/>
      <c r="AE30" s="211"/>
      <c r="AF30" s="211"/>
      <c r="AG30" s="211"/>
      <c r="AH30" s="88" t="str">
        <f t="shared" si="0"/>
        <v/>
      </c>
      <c r="AI30" s="88" t="str">
        <f t="shared" si="1"/>
        <v/>
      </c>
      <c r="AJ30" s="88" t="str">
        <f t="shared" si="2"/>
        <v/>
      </c>
      <c r="AK30" s="88">
        <f t="shared" si="3"/>
        <v>0</v>
      </c>
      <c r="AL30" s="88" t="str">
        <f t="shared" si="4"/>
        <v/>
      </c>
      <c r="AM30" s="88" t="str">
        <f t="shared" si="5"/>
        <v/>
      </c>
      <c r="AN30" s="88"/>
      <c r="AO30" s="88" t="str">
        <f t="shared" si="6"/>
        <v/>
      </c>
      <c r="AP30" s="88" t="str">
        <f t="shared" si="7"/>
        <v/>
      </c>
      <c r="AQ30" s="88"/>
      <c r="AR30" s="88"/>
      <c r="AS30" s="88"/>
      <c r="AT30" s="88" t="str">
        <f t="shared" si="8"/>
        <v/>
      </c>
      <c r="AU30" s="88"/>
      <c r="AV30" s="88"/>
      <c r="AW30" s="88"/>
      <c r="AX30" s="88"/>
      <c r="AY30" s="88"/>
      <c r="AZ30" s="88"/>
      <c r="BA30" s="88"/>
      <c r="BB30" s="88"/>
      <c r="BC30" s="88"/>
      <c r="BD30" s="88"/>
      <c r="BE30" s="88"/>
      <c r="BF30" s="211"/>
    </row>
    <row r="31" spans="1:212" s="207" customFormat="1" x14ac:dyDescent="0.25">
      <c r="A31" s="211"/>
      <c r="B31" s="211"/>
      <c r="C31" s="211"/>
      <c r="D31" s="211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  <c r="Z31" s="211"/>
      <c r="AA31" s="211"/>
      <c r="AB31" s="211"/>
      <c r="AC31" s="211"/>
      <c r="AD31" s="211"/>
      <c r="AE31" s="211"/>
      <c r="AF31" s="211"/>
      <c r="AG31" s="211"/>
      <c r="AH31" s="88" t="str">
        <f t="shared" si="0"/>
        <v/>
      </c>
      <c r="AI31" s="88" t="str">
        <f t="shared" si="1"/>
        <v/>
      </c>
      <c r="AJ31" s="88" t="str">
        <f t="shared" si="2"/>
        <v/>
      </c>
      <c r="AK31" s="88">
        <f t="shared" si="3"/>
        <v>0</v>
      </c>
      <c r="AL31" s="88" t="str">
        <f t="shared" si="4"/>
        <v/>
      </c>
      <c r="AM31" s="88" t="str">
        <f t="shared" si="5"/>
        <v/>
      </c>
      <c r="AN31" s="88"/>
      <c r="AO31" s="88" t="str">
        <f t="shared" si="6"/>
        <v/>
      </c>
      <c r="AP31" s="88" t="str">
        <f t="shared" si="7"/>
        <v/>
      </c>
      <c r="AQ31" s="88"/>
      <c r="AR31" s="88"/>
      <c r="AS31" s="88"/>
      <c r="AT31" s="88" t="str">
        <f t="shared" si="8"/>
        <v/>
      </c>
      <c r="AU31" s="88"/>
      <c r="AV31" s="88"/>
      <c r="AW31" s="88"/>
      <c r="AX31" s="88"/>
      <c r="AY31" s="88"/>
      <c r="AZ31" s="88"/>
      <c r="BA31" s="88"/>
      <c r="BB31" s="88"/>
      <c r="BC31" s="88"/>
      <c r="BD31" s="88"/>
      <c r="BE31" s="88"/>
      <c r="BF31" s="211"/>
    </row>
    <row r="32" spans="1:212" s="207" customFormat="1" x14ac:dyDescent="0.25">
      <c r="A32" s="211"/>
      <c r="B32" s="211"/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211"/>
      <c r="AG32" s="211"/>
      <c r="AH32" s="88" t="str">
        <f t="shared" si="0"/>
        <v/>
      </c>
      <c r="AI32" s="88" t="str">
        <f t="shared" si="1"/>
        <v/>
      </c>
      <c r="AJ32" s="88" t="str">
        <f t="shared" si="2"/>
        <v/>
      </c>
      <c r="AK32" s="88">
        <f t="shared" si="3"/>
        <v>0</v>
      </c>
      <c r="AL32" s="88" t="str">
        <f t="shared" si="4"/>
        <v/>
      </c>
      <c r="AM32" s="88" t="str">
        <f t="shared" si="5"/>
        <v/>
      </c>
      <c r="AN32" s="88"/>
      <c r="AO32" s="88" t="str">
        <f t="shared" si="6"/>
        <v/>
      </c>
      <c r="AP32" s="88" t="str">
        <f t="shared" si="7"/>
        <v/>
      </c>
      <c r="AQ32" s="88"/>
      <c r="AR32" s="88"/>
      <c r="AS32" s="88"/>
      <c r="AT32" s="88" t="str">
        <f t="shared" si="8"/>
        <v/>
      </c>
      <c r="AU32" s="88"/>
      <c r="AV32" s="88"/>
      <c r="AW32" s="88"/>
      <c r="AX32" s="88"/>
      <c r="AY32" s="88"/>
      <c r="AZ32" s="88"/>
      <c r="BA32" s="88"/>
      <c r="BB32" s="88"/>
      <c r="BC32" s="88"/>
      <c r="BD32" s="88"/>
      <c r="BE32" s="88"/>
      <c r="BF32" s="211"/>
      <c r="BG32" s="255"/>
    </row>
    <row r="33" spans="1:58" s="207" customFormat="1" x14ac:dyDescent="0.25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1"/>
      <c r="T33" s="211"/>
      <c r="U33" s="211"/>
      <c r="V33" s="211"/>
      <c r="W33" s="211"/>
      <c r="X33" s="211"/>
      <c r="Y33" s="211"/>
      <c r="Z33" s="211"/>
      <c r="AA33" s="211"/>
      <c r="AB33" s="211"/>
      <c r="AC33" s="211"/>
      <c r="AD33" s="211"/>
      <c r="AE33" s="211"/>
      <c r="AF33" s="211"/>
      <c r="AG33" s="211"/>
      <c r="AH33" s="88" t="str">
        <f t="shared" si="0"/>
        <v/>
      </c>
      <c r="AI33" s="88" t="str">
        <f t="shared" si="1"/>
        <v/>
      </c>
      <c r="AJ33" s="88" t="str">
        <f t="shared" si="2"/>
        <v/>
      </c>
      <c r="AK33" s="88">
        <f t="shared" si="3"/>
        <v>0</v>
      </c>
      <c r="AL33" s="88" t="str">
        <f t="shared" si="4"/>
        <v/>
      </c>
      <c r="AM33" s="88" t="str">
        <f t="shared" si="5"/>
        <v/>
      </c>
      <c r="AN33" s="88"/>
      <c r="AO33" s="88" t="str">
        <f t="shared" si="6"/>
        <v/>
      </c>
      <c r="AP33" s="88" t="str">
        <f t="shared" si="7"/>
        <v/>
      </c>
      <c r="AQ33" s="88"/>
      <c r="AR33" s="88"/>
      <c r="AS33" s="88"/>
      <c r="AT33" s="88" t="str">
        <f t="shared" si="8"/>
        <v/>
      </c>
      <c r="AU33" s="88"/>
      <c r="AV33" s="88"/>
      <c r="AW33" s="88"/>
      <c r="AX33" s="88"/>
      <c r="AY33" s="88"/>
      <c r="AZ33" s="88"/>
      <c r="BA33" s="88"/>
      <c r="BB33" s="88"/>
      <c r="BC33" s="88"/>
      <c r="BD33" s="88"/>
      <c r="BE33" s="88"/>
      <c r="BF33" s="211"/>
    </row>
    <row r="34" spans="1:58" s="207" customFormat="1" x14ac:dyDescent="0.25">
      <c r="AH34" s="206" t="str">
        <f t="shared" si="0"/>
        <v/>
      </c>
      <c r="AI34" s="206" t="str">
        <f t="shared" ref="AI34:AI37" si="10">IF(L34&lt;&gt;"",H34*L34,"")</f>
        <v/>
      </c>
      <c r="AJ34" s="206" t="str">
        <f t="shared" ref="AJ34:AJ37" si="11">IF(M34&lt;&gt;"",M34*H34,"")</f>
        <v/>
      </c>
      <c r="AK34" s="206" t="str">
        <f t="shared" ref="AK34:AK37" si="12" xml:space="preserve"> IF(N34&lt;&gt;"", 0.05*K34+2,"")</f>
        <v/>
      </c>
      <c r="AL34" s="206" t="str">
        <f t="shared" ref="AL34:AL37" si="13">IF(N34&lt;&gt;"",0.4*G34,"")</f>
        <v/>
      </c>
      <c r="AM34" s="206" t="str">
        <f t="shared" si="5"/>
        <v/>
      </c>
      <c r="AN34" s="206"/>
      <c r="AO34" s="206" t="str">
        <f t="shared" si="6"/>
        <v/>
      </c>
      <c r="AP34" s="206" t="str">
        <f t="shared" si="7"/>
        <v/>
      </c>
      <c r="AQ34" s="206"/>
      <c r="AR34" s="206"/>
      <c r="AS34" s="206"/>
      <c r="AT34" s="206" t="str">
        <f t="shared" si="8"/>
        <v/>
      </c>
      <c r="AU34" s="206"/>
      <c r="AV34" s="206"/>
      <c r="AW34" s="206"/>
      <c r="AX34" s="206"/>
      <c r="AY34" s="206"/>
      <c r="AZ34" s="206"/>
      <c r="BA34" s="206"/>
      <c r="BB34" s="206"/>
      <c r="BC34" s="206"/>
      <c r="BD34" s="206"/>
      <c r="BE34" s="206"/>
    </row>
    <row r="35" spans="1:58" s="207" customFormat="1" x14ac:dyDescent="0.25">
      <c r="AH35" s="206" t="str">
        <f t="shared" si="0"/>
        <v/>
      </c>
      <c r="AI35" s="206" t="str">
        <f t="shared" si="10"/>
        <v/>
      </c>
      <c r="AJ35" s="206" t="str">
        <f t="shared" si="11"/>
        <v/>
      </c>
      <c r="AK35" s="206" t="str">
        <f t="shared" si="12"/>
        <v/>
      </c>
      <c r="AL35" s="206" t="str">
        <f t="shared" si="13"/>
        <v/>
      </c>
      <c r="AM35" s="206" t="str">
        <f t="shared" si="5"/>
        <v/>
      </c>
      <c r="AN35" s="206"/>
      <c r="AO35" s="206" t="str">
        <f t="shared" si="6"/>
        <v/>
      </c>
      <c r="AP35" s="206" t="str">
        <f t="shared" si="7"/>
        <v/>
      </c>
      <c r="AQ35" s="206"/>
      <c r="AR35" s="206"/>
      <c r="AS35" s="206"/>
      <c r="AT35" s="206" t="str">
        <f t="shared" si="8"/>
        <v/>
      </c>
      <c r="AU35" s="206"/>
      <c r="AV35" s="206"/>
      <c r="AW35" s="206"/>
      <c r="AX35" s="206"/>
      <c r="AY35" s="206"/>
      <c r="AZ35" s="206"/>
      <c r="BA35" s="206"/>
      <c r="BB35" s="206"/>
      <c r="BC35" s="206"/>
      <c r="BD35" s="206"/>
      <c r="BE35" s="206"/>
    </row>
    <row r="36" spans="1:58" s="207" customFormat="1" x14ac:dyDescent="0.25">
      <c r="AH36" s="206" t="str">
        <f t="shared" si="0"/>
        <v/>
      </c>
      <c r="AI36" s="206" t="str">
        <f t="shared" si="10"/>
        <v/>
      </c>
      <c r="AJ36" s="206" t="str">
        <f t="shared" si="11"/>
        <v/>
      </c>
      <c r="AK36" s="206" t="str">
        <f t="shared" si="12"/>
        <v/>
      </c>
      <c r="AL36" s="206" t="str">
        <f t="shared" si="13"/>
        <v/>
      </c>
      <c r="AM36" s="206" t="str">
        <f t="shared" si="5"/>
        <v/>
      </c>
      <c r="AN36" s="206"/>
      <c r="AO36" s="206" t="str">
        <f t="shared" si="6"/>
        <v/>
      </c>
      <c r="AP36" s="206" t="str">
        <f t="shared" si="7"/>
        <v/>
      </c>
      <c r="AQ36" s="206"/>
      <c r="AR36" s="206"/>
      <c r="AS36" s="206"/>
      <c r="AT36" s="206" t="str">
        <f t="shared" si="8"/>
        <v/>
      </c>
      <c r="AU36" s="206"/>
      <c r="AV36" s="206"/>
      <c r="AW36" s="206"/>
      <c r="AX36" s="206"/>
      <c r="AY36" s="206"/>
      <c r="AZ36" s="206"/>
      <c r="BA36" s="206"/>
      <c r="BB36" s="206"/>
      <c r="BC36" s="206"/>
      <c r="BD36" s="206"/>
      <c r="BE36" s="206"/>
    </row>
    <row r="37" spans="1:58" s="207" customFormat="1" x14ac:dyDescent="0.25">
      <c r="AH37" s="206" t="str">
        <f t="shared" si="0"/>
        <v/>
      </c>
      <c r="AI37" s="206" t="str">
        <f t="shared" si="10"/>
        <v/>
      </c>
      <c r="AJ37" s="206" t="str">
        <f t="shared" si="11"/>
        <v/>
      </c>
      <c r="AK37" s="206" t="str">
        <f t="shared" si="12"/>
        <v/>
      </c>
      <c r="AL37" s="206" t="str">
        <f t="shared" si="13"/>
        <v/>
      </c>
      <c r="AM37" s="206" t="str">
        <f t="shared" si="5"/>
        <v/>
      </c>
      <c r="AN37" s="206"/>
      <c r="AO37" s="206" t="str">
        <f t="shared" si="6"/>
        <v/>
      </c>
      <c r="AP37" s="206" t="str">
        <f t="shared" si="7"/>
        <v/>
      </c>
      <c r="AQ37" s="206"/>
      <c r="AR37" s="206"/>
      <c r="AS37" s="206"/>
      <c r="AT37" s="206" t="str">
        <f t="shared" si="8"/>
        <v/>
      </c>
      <c r="AU37" s="206"/>
      <c r="AV37" s="206"/>
      <c r="AW37" s="206"/>
      <c r="AX37" s="206"/>
      <c r="AY37" s="206"/>
      <c r="AZ37" s="206"/>
      <c r="BA37" s="206"/>
      <c r="BB37" s="206"/>
      <c r="BC37" s="206"/>
      <c r="BD37" s="206"/>
      <c r="BE37" s="206"/>
    </row>
  </sheetData>
  <dataConsolidate/>
  <mergeCells count="9">
    <mergeCell ref="AH3:AJ3"/>
    <mergeCell ref="A3:A4"/>
    <mergeCell ref="B3:B4"/>
    <mergeCell ref="C3:C4"/>
    <mergeCell ref="F3:F4"/>
    <mergeCell ref="D3:D4"/>
    <mergeCell ref="E3:E4"/>
    <mergeCell ref="G3:J3"/>
    <mergeCell ref="K3:AG3"/>
  </mergeCells>
  <phoneticPr fontId="4" type="noConversion"/>
  <conditionalFormatting sqref="B28">
    <cfRule type="expression" dxfId="15" priority="1" stopIfTrue="1">
      <formula>$FE$692&gt;0</formula>
    </cfRule>
    <cfRule type="expression" dxfId="14" priority="2" stopIfTrue="1">
      <formula>$FF$692&gt;0</formula>
    </cfRule>
  </conditionalFormatting>
  <pageMargins left="0.27559055118110237" right="0.19685039370078741" top="0.27559055118110237" bottom="0.35433070866141736" header="0.31496062992125984" footer="0.35433070866141736"/>
  <pageSetup paperSize="9" scale="115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4"/>
  <dimension ref="A1:HD28"/>
  <sheetViews>
    <sheetView workbookViewId="0">
      <selection activeCell="AI6" sqref="AI6:AI28"/>
    </sheetView>
  </sheetViews>
  <sheetFormatPr defaultRowHeight="13.2" x14ac:dyDescent="0.25"/>
  <cols>
    <col min="1" max="1" width="3.33203125" customWidth="1"/>
    <col min="2" max="2" width="44.33203125" customWidth="1"/>
    <col min="3" max="3" width="12.109375" bestFit="1" customWidth="1"/>
    <col min="4" max="4" width="4.6640625" bestFit="1" customWidth="1"/>
    <col min="5" max="5" width="2.33203125" customWidth="1"/>
    <col min="6" max="6" width="3.44140625" bestFit="1" customWidth="1"/>
    <col min="7" max="7" width="3.5546875" customWidth="1"/>
    <col min="8" max="8" width="2.88671875" customWidth="1"/>
    <col min="9" max="9" width="2.33203125" customWidth="1"/>
    <col min="10" max="10" width="4.44140625" customWidth="1"/>
    <col min="11" max="13" width="2.5546875" customWidth="1"/>
    <col min="14" max="14" width="2.33203125" customWidth="1"/>
    <col min="15" max="15" width="2.5546875" customWidth="1"/>
    <col min="16" max="16" width="2.88671875" bestFit="1" customWidth="1"/>
    <col min="17" max="17" width="2.5546875" customWidth="1"/>
    <col min="18" max="18" width="2.33203125" customWidth="1"/>
    <col min="19" max="22" width="2.5546875" customWidth="1"/>
    <col min="23" max="23" width="2.33203125" customWidth="1"/>
    <col min="24" max="33" width="2.5546875" customWidth="1"/>
    <col min="34" max="34" width="3.88671875" customWidth="1"/>
    <col min="35" max="35" width="3.5546875" customWidth="1"/>
    <col min="36" max="36" width="3.33203125" customWidth="1"/>
    <col min="37" max="37" width="4.33203125" customWidth="1"/>
    <col min="38" max="38" width="3.5546875" customWidth="1"/>
    <col min="39" max="39" width="3.88671875" customWidth="1"/>
    <col min="40" max="40" width="3.33203125" customWidth="1"/>
    <col min="41" max="41" width="4.44140625" customWidth="1"/>
    <col min="42" max="42" width="4.33203125" customWidth="1"/>
    <col min="43" max="43" width="3.6640625" customWidth="1"/>
    <col min="44" max="44" width="2.88671875" customWidth="1"/>
    <col min="45" max="45" width="3.6640625" customWidth="1"/>
    <col min="46" max="46" width="4.88671875" bestFit="1" customWidth="1"/>
    <col min="47" max="47" width="3.44140625" customWidth="1"/>
    <col min="48" max="48" width="3.5546875" customWidth="1"/>
    <col min="49" max="49" width="3.44140625" customWidth="1"/>
    <col min="50" max="57" width="4" customWidth="1"/>
    <col min="58" max="58" width="6.44140625" customWidth="1"/>
  </cols>
  <sheetData>
    <row r="1" spans="1:60" s="25" customFormat="1" x14ac:dyDescent="0.25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4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9.8" thickBot="1" x14ac:dyDescent="0.3">
      <c r="A3" s="318" t="s">
        <v>1</v>
      </c>
      <c r="B3" s="300" t="s">
        <v>2</v>
      </c>
      <c r="C3" s="322" t="s">
        <v>3</v>
      </c>
      <c r="D3" s="304" t="s">
        <v>77</v>
      </c>
      <c r="E3" s="304" t="s">
        <v>40</v>
      </c>
      <c r="F3" s="324" t="s">
        <v>4</v>
      </c>
      <c r="G3" s="316" t="s">
        <v>5</v>
      </c>
      <c r="H3" s="316"/>
      <c r="I3" s="316"/>
      <c r="J3" s="317"/>
      <c r="K3" s="292" t="s">
        <v>46</v>
      </c>
      <c r="L3" s="293"/>
      <c r="M3" s="293"/>
      <c r="N3" s="293"/>
      <c r="O3" s="293"/>
      <c r="P3" s="293"/>
      <c r="Q3" s="293"/>
      <c r="R3" s="293"/>
      <c r="S3" s="293"/>
      <c r="T3" s="293"/>
      <c r="U3" s="293"/>
      <c r="V3" s="293"/>
      <c r="W3" s="293"/>
      <c r="X3" s="293"/>
      <c r="Y3" s="293"/>
      <c r="Z3" s="293"/>
      <c r="AA3" s="293"/>
      <c r="AB3" s="293"/>
      <c r="AC3" s="293"/>
      <c r="AD3" s="293"/>
      <c r="AE3" s="293"/>
      <c r="AF3" s="293"/>
      <c r="AG3" s="294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2.4" x14ac:dyDescent="0.25">
      <c r="A4" s="319"/>
      <c r="B4" s="301"/>
      <c r="C4" s="323"/>
      <c r="D4" s="305"/>
      <c r="E4" s="305"/>
      <c r="F4" s="325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223</v>
      </c>
    </row>
    <row r="5" spans="1:60" x14ac:dyDescent="0.25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12.75" customHeight="1" x14ac:dyDescent="0.25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>IF(M6&lt;&gt;"",M6*H6*J6,"")</f>
        <v/>
      </c>
      <c r="AK6" s="88">
        <f>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5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8" si="0">IF(K7&lt;&gt;"",H7*K7,"")</f>
        <v/>
      </c>
      <c r="AI7" s="88" t="str">
        <f t="shared" ref="AI7:AI28" si="1">IF(L7&lt;&gt;"",H7*L7,"")</f>
        <v/>
      </c>
      <c r="AJ7" s="88" t="str">
        <f t="shared" ref="AJ7:AJ28" si="2">IF(M7&lt;&gt;"",M7*H7*J7,"")</f>
        <v/>
      </c>
      <c r="AK7" s="88">
        <f t="shared" ref="AK7:AK28" si="3">IF(E7="з",0.15,0.05)*IF(AH7&lt;&gt;"",AH7,0)+2*IF(N7=1,1,0)</f>
        <v>0</v>
      </c>
      <c r="AL7" s="88" t="str">
        <f t="shared" ref="AL7:AL28" si="4">IF(N7&lt;&gt;"",0.33*G7,"")</f>
        <v/>
      </c>
      <c r="AM7" s="88" t="str">
        <f t="shared" ref="AM7:AM28" si="5">IF(O7="+",0.25*G7,IF(O7="+Д",G7*0.33,""))</f>
        <v/>
      </c>
      <c r="AN7" s="88"/>
      <c r="AO7" s="88" t="str">
        <f t="shared" ref="AO7:AO28" si="6">IF(Q7&lt;&gt;"",2*G7,"")</f>
        <v/>
      </c>
      <c r="AP7" s="88" t="str">
        <f t="shared" ref="AP7:AP28" si="7">IF(R7&lt;&gt;"",3*H7,"")</f>
        <v/>
      </c>
      <c r="AQ7" s="88"/>
      <c r="AR7" s="88"/>
      <c r="AS7" s="88"/>
      <c r="AT7" s="88" t="str">
        <f t="shared" ref="AT7:AT28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6" customFormat="1" ht="12" x14ac:dyDescent="0.25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5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3.5" customHeight="1" x14ac:dyDescent="0.25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5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5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5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5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ht="14.25" customHeight="1" x14ac:dyDescent="0.25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5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5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5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5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ht="13.5" customHeight="1" x14ac:dyDescent="0.25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6" customFormat="1" ht="12" x14ac:dyDescent="0.25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2" x14ac:dyDescent="0.25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x14ac:dyDescent="0.25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6" customFormat="1" ht="12" x14ac:dyDescent="0.25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x14ac:dyDescent="0.25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6" customFormat="1" ht="12" x14ac:dyDescent="0.25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6" customFormat="1" ht="12" x14ac:dyDescent="0.25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 t="shared" si="1"/>
        <v/>
      </c>
      <c r="AJ28" s="88" t="str">
        <f t="shared" si="2"/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13" priority="1" stopIfTrue="1">
      <formula>$FE$683&gt;0</formula>
    </cfRule>
    <cfRule type="expression" dxfId="12" priority="2" stopIfTrue="1">
      <formula>$FF$683&gt;0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HD28"/>
  <sheetViews>
    <sheetView zoomScaleNormal="100" workbookViewId="0">
      <selection activeCell="AI6" sqref="AI6:AI28"/>
    </sheetView>
  </sheetViews>
  <sheetFormatPr defaultRowHeight="13.2" x14ac:dyDescent="0.25"/>
  <cols>
    <col min="1" max="1" width="3.33203125" customWidth="1"/>
    <col min="2" max="2" width="44.33203125" customWidth="1"/>
    <col min="3" max="3" width="12.109375" bestFit="1" customWidth="1"/>
    <col min="4" max="4" width="4.6640625" bestFit="1" customWidth="1"/>
    <col min="5" max="5" width="2.33203125" customWidth="1"/>
    <col min="6" max="6" width="3.44140625" bestFit="1" customWidth="1"/>
    <col min="7" max="7" width="3.5546875" customWidth="1"/>
    <col min="8" max="8" width="2.88671875" customWidth="1"/>
    <col min="9" max="9" width="2.33203125" customWidth="1"/>
    <col min="10" max="10" width="4.44140625" customWidth="1"/>
    <col min="11" max="13" width="2.5546875" customWidth="1"/>
    <col min="14" max="14" width="2.33203125" customWidth="1"/>
    <col min="15" max="15" width="2.5546875" customWidth="1"/>
    <col min="16" max="16" width="2.88671875" bestFit="1" customWidth="1"/>
    <col min="17" max="17" width="2.5546875" customWidth="1"/>
    <col min="18" max="18" width="2.33203125" customWidth="1"/>
    <col min="19" max="22" width="2.5546875" customWidth="1"/>
    <col min="23" max="23" width="2.33203125" customWidth="1"/>
    <col min="24" max="33" width="2.5546875" customWidth="1"/>
    <col min="34" max="34" width="3.88671875" customWidth="1"/>
    <col min="35" max="35" width="3.5546875" customWidth="1"/>
    <col min="36" max="36" width="3.33203125" customWidth="1"/>
    <col min="37" max="37" width="4.33203125" customWidth="1"/>
    <col min="38" max="38" width="3.5546875" customWidth="1"/>
    <col min="39" max="39" width="3.88671875" customWidth="1"/>
    <col min="40" max="40" width="3.33203125" customWidth="1"/>
    <col min="41" max="41" width="4.44140625" customWidth="1"/>
    <col min="42" max="42" width="4.33203125" customWidth="1"/>
    <col min="43" max="43" width="3.6640625" customWidth="1"/>
    <col min="44" max="44" width="2.88671875" customWidth="1"/>
    <col min="45" max="45" width="3.6640625" customWidth="1"/>
    <col min="46" max="46" width="4.88671875" bestFit="1" customWidth="1"/>
    <col min="47" max="47" width="3.44140625" customWidth="1"/>
    <col min="48" max="48" width="3.5546875" customWidth="1"/>
    <col min="49" max="49" width="3.44140625" customWidth="1"/>
    <col min="50" max="57" width="4" customWidth="1"/>
    <col min="58" max="58" width="6.44140625" customWidth="1"/>
  </cols>
  <sheetData>
    <row r="1" spans="1:60" s="25" customFormat="1" x14ac:dyDescent="0.25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4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9.8" thickBot="1" x14ac:dyDescent="0.3">
      <c r="A3" s="318" t="s">
        <v>1</v>
      </c>
      <c r="B3" s="300" t="s">
        <v>2</v>
      </c>
      <c r="C3" s="322" t="s">
        <v>3</v>
      </c>
      <c r="D3" s="304" t="s">
        <v>77</v>
      </c>
      <c r="E3" s="304" t="s">
        <v>40</v>
      </c>
      <c r="F3" s="324" t="s">
        <v>4</v>
      </c>
      <c r="G3" s="316" t="s">
        <v>5</v>
      </c>
      <c r="H3" s="316"/>
      <c r="I3" s="316"/>
      <c r="J3" s="317"/>
      <c r="K3" s="292" t="s">
        <v>46</v>
      </c>
      <c r="L3" s="293"/>
      <c r="M3" s="293"/>
      <c r="N3" s="293"/>
      <c r="O3" s="293"/>
      <c r="P3" s="293"/>
      <c r="Q3" s="293"/>
      <c r="R3" s="293"/>
      <c r="S3" s="293"/>
      <c r="T3" s="293"/>
      <c r="U3" s="293"/>
      <c r="V3" s="293"/>
      <c r="W3" s="293"/>
      <c r="X3" s="293"/>
      <c r="Y3" s="293"/>
      <c r="Z3" s="293"/>
      <c r="AA3" s="293"/>
      <c r="AB3" s="293"/>
      <c r="AC3" s="293"/>
      <c r="AD3" s="293"/>
      <c r="AE3" s="293"/>
      <c r="AF3" s="293"/>
      <c r="AG3" s="294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2.4" x14ac:dyDescent="0.25">
      <c r="A4" s="319"/>
      <c r="B4" s="301"/>
      <c r="C4" s="323"/>
      <c r="D4" s="305"/>
      <c r="E4" s="305"/>
      <c r="F4" s="325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188</v>
      </c>
    </row>
    <row r="5" spans="1:60" x14ac:dyDescent="0.25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12.75" customHeight="1" x14ac:dyDescent="0.25">
      <c r="A6" s="43"/>
      <c r="B6" s="54"/>
      <c r="C6" s="43"/>
      <c r="D6" s="43"/>
      <c r="E6" s="43"/>
      <c r="F6" s="43"/>
      <c r="G6" s="43"/>
      <c r="H6" s="43"/>
      <c r="I6" s="43"/>
      <c r="J6" s="87"/>
      <c r="K6" s="202"/>
      <c r="L6" s="43"/>
      <c r="M6" s="203"/>
      <c r="N6" s="204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>IF(M6&lt;&gt;"",M6*H6*J6,"")</f>
        <v/>
      </c>
      <c r="AK6" s="88">
        <f>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5">
      <c r="A7" s="43"/>
      <c r="B7" s="54"/>
      <c r="C7" s="43"/>
      <c r="D7" s="43"/>
      <c r="E7" s="43"/>
      <c r="F7" s="43"/>
      <c r="G7" s="43"/>
      <c r="H7" s="43"/>
      <c r="I7" s="43"/>
      <c r="J7" s="87"/>
      <c r="K7" s="202"/>
      <c r="L7" s="43"/>
      <c r="M7" s="203"/>
      <c r="N7" s="204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8" si="0">IF(K7&lt;&gt;"",H7*K7,"")</f>
        <v/>
      </c>
      <c r="AI7" s="88" t="str">
        <f t="shared" ref="AI7:AI28" si="1">IF(L7&lt;&gt;"",H7*L7,"")</f>
        <v/>
      </c>
      <c r="AJ7" s="88" t="str">
        <f t="shared" ref="AJ7:AJ28" si="2">IF(M7&lt;&gt;"",M7*H7*J7,"")</f>
        <v/>
      </c>
      <c r="AK7" s="88">
        <f t="shared" ref="AK7:AK28" si="3">IF(E7="з",0.15,0.05)*IF(AH7&lt;&gt;"",AH7,0)+2*IF(N7=1,1,0)</f>
        <v>0</v>
      </c>
      <c r="AL7" s="88" t="str">
        <f t="shared" ref="AL7:AL28" si="4">IF(N7&lt;&gt;"",0.33*G7,"")</f>
        <v/>
      </c>
      <c r="AM7" s="88" t="str">
        <f t="shared" ref="AM7:AM28" si="5">IF(O7="+",0.25*G7,IF(O7="+Д",G7*0.33,""))</f>
        <v/>
      </c>
      <c r="AN7" s="88"/>
      <c r="AO7" s="88" t="str">
        <f t="shared" ref="AO7:AO28" si="6">IF(Q7&lt;&gt;"",2*G7,"")</f>
        <v/>
      </c>
      <c r="AP7" s="88" t="str">
        <f t="shared" ref="AP7:AP28" si="7">IF(R7&lt;&gt;"",3*H7,"")</f>
        <v/>
      </c>
      <c r="AQ7" s="88"/>
      <c r="AR7" s="88"/>
      <c r="AS7" s="88"/>
      <c r="AT7" s="88" t="str">
        <f t="shared" ref="AT7:AT28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6" customFormat="1" ht="12" x14ac:dyDescent="0.25">
      <c r="A8" s="43"/>
      <c r="B8" s="54"/>
      <c r="C8" s="43"/>
      <c r="D8" s="43"/>
      <c r="E8" s="43"/>
      <c r="F8" s="43"/>
      <c r="G8" s="43"/>
      <c r="H8" s="43"/>
      <c r="I8" s="43"/>
      <c r="J8" s="87"/>
      <c r="K8" s="202"/>
      <c r="L8" s="43"/>
      <c r="M8" s="203"/>
      <c r="N8" s="204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5">
      <c r="A9" s="43"/>
      <c r="B9" s="54"/>
      <c r="C9" s="43"/>
      <c r="D9" s="43"/>
      <c r="E9" s="43"/>
      <c r="F9" s="43"/>
      <c r="G9" s="43"/>
      <c r="H9" s="43"/>
      <c r="I9" s="43"/>
      <c r="J9" s="87"/>
      <c r="K9" s="202"/>
      <c r="L9" s="43"/>
      <c r="M9" s="203"/>
      <c r="N9" s="204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3.5" customHeight="1" x14ac:dyDescent="0.25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5">
      <c r="A11" s="43"/>
      <c r="B11" s="224"/>
      <c r="C11" s="43"/>
      <c r="D11" s="43"/>
      <c r="E11" s="43"/>
      <c r="F11" s="43"/>
      <c r="G11" s="43"/>
      <c r="H11" s="43"/>
      <c r="I11" s="43"/>
      <c r="J11" s="87"/>
      <c r="K11" s="202"/>
      <c r="L11" s="43"/>
      <c r="M11" s="203"/>
      <c r="N11" s="204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5">
      <c r="A12" s="43"/>
      <c r="B12" s="54"/>
      <c r="C12" s="43"/>
      <c r="D12" s="43"/>
      <c r="E12" s="43"/>
      <c r="F12" s="186"/>
      <c r="G12" s="265"/>
      <c r="H12" s="88"/>
      <c r="I12" s="88"/>
      <c r="J12" s="189"/>
      <c r="K12" s="188"/>
      <c r="L12" s="88"/>
      <c r="M12" s="189"/>
      <c r="N12" s="1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5">
      <c r="A13" s="43"/>
      <c r="B13" s="201"/>
      <c r="C13" s="43"/>
      <c r="D13" s="43"/>
      <c r="E13" s="43"/>
      <c r="F13" s="186"/>
      <c r="G13" s="265"/>
      <c r="H13" s="88"/>
      <c r="I13" s="88"/>
      <c r="J13" s="189"/>
      <c r="K13" s="188"/>
      <c r="L13" s="88"/>
      <c r="M13" s="189"/>
      <c r="N13" s="1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5">
      <c r="A14" s="43"/>
      <c r="B14" s="54"/>
      <c r="C14" s="43"/>
      <c r="D14" s="43"/>
      <c r="E14" s="43"/>
      <c r="F14" s="186"/>
      <c r="G14" s="265"/>
      <c r="H14" s="88"/>
      <c r="I14" s="88"/>
      <c r="J14" s="189"/>
      <c r="K14" s="188"/>
      <c r="L14" s="88"/>
      <c r="M14" s="189"/>
      <c r="N14" s="1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ht="14.25" customHeight="1" x14ac:dyDescent="0.25">
      <c r="A15" s="43"/>
      <c r="B15" s="54"/>
      <c r="C15" s="43"/>
      <c r="D15" s="43"/>
      <c r="E15" s="43"/>
      <c r="F15" s="187"/>
      <c r="G15" s="265"/>
      <c r="H15" s="88"/>
      <c r="I15" s="88"/>
      <c r="J15" s="189"/>
      <c r="K15" s="188"/>
      <c r="L15" s="88"/>
      <c r="M15" s="189"/>
      <c r="N15" s="1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5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5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204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5">
      <c r="A18" s="43"/>
      <c r="B18" s="228"/>
      <c r="C18" s="43"/>
      <c r="D18" s="43"/>
      <c r="E18" s="43"/>
      <c r="F18" s="43"/>
      <c r="G18" s="43"/>
      <c r="H18" s="43"/>
      <c r="I18" s="43"/>
      <c r="J18" s="87"/>
      <c r="K18" s="202"/>
      <c r="L18" s="43"/>
      <c r="M18" s="203"/>
      <c r="N18" s="204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5">
      <c r="A19" s="43"/>
      <c r="B19" s="266"/>
      <c r="C19" s="43"/>
      <c r="D19" s="213"/>
      <c r="E19" s="43"/>
      <c r="F19" s="43"/>
      <c r="G19" s="43"/>
      <c r="H19" s="43"/>
      <c r="I19" s="43"/>
      <c r="J19" s="87"/>
      <c r="K19" s="202"/>
      <c r="L19" s="43"/>
      <c r="M19" s="203"/>
      <c r="N19" s="204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5">
      <c r="A20" s="43"/>
      <c r="B20" s="266"/>
      <c r="C20" s="43"/>
      <c r="D20" s="43"/>
      <c r="E20" s="43"/>
      <c r="F20" s="43"/>
      <c r="G20" s="43"/>
      <c r="H20" s="43"/>
      <c r="I20" s="43"/>
      <c r="J20" s="87"/>
      <c r="K20" s="202"/>
      <c r="L20" s="43"/>
      <c r="M20" s="203"/>
      <c r="N20" s="204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6" customFormat="1" ht="12" x14ac:dyDescent="0.25">
      <c r="A21" s="43"/>
      <c r="B21" s="201"/>
      <c r="C21" s="43"/>
      <c r="D21" s="43"/>
      <c r="E21" s="43"/>
      <c r="F21" s="187"/>
      <c r="G21" s="267"/>
      <c r="H21" s="88"/>
      <c r="I21" s="88"/>
      <c r="J21" s="189"/>
      <c r="K21" s="188"/>
      <c r="L21" s="88"/>
      <c r="M21" s="189"/>
      <c r="N21" s="1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3.5" customHeight="1" x14ac:dyDescent="0.25">
      <c r="A22" s="43"/>
      <c r="B22" s="201"/>
      <c r="C22" s="43"/>
      <c r="D22" s="43"/>
      <c r="E22" s="43"/>
      <c r="F22" s="268"/>
      <c r="G22" s="267"/>
      <c r="H22" s="88"/>
      <c r="I22" s="88"/>
      <c r="J22" s="189"/>
      <c r="K22" s="188"/>
      <c r="L22" s="88"/>
      <c r="M22" s="189"/>
      <c r="N22" s="1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x14ac:dyDescent="0.25">
      <c r="A23" s="43"/>
      <c r="B23" s="185"/>
      <c r="C23" s="43"/>
      <c r="D23" s="43"/>
      <c r="E23" s="43"/>
      <c r="F23" s="43"/>
      <c r="G23" s="43"/>
      <c r="H23" s="43"/>
      <c r="I23" s="43"/>
      <c r="J23" s="87"/>
      <c r="K23" s="202"/>
      <c r="L23" s="43"/>
      <c r="M23" s="203"/>
      <c r="N23" s="204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x14ac:dyDescent="0.25">
      <c r="A24" s="43"/>
      <c r="B24" s="224"/>
      <c r="C24" s="43"/>
      <c r="D24" s="43"/>
      <c r="E24" s="43"/>
      <c r="F24" s="43"/>
      <c r="G24" s="43"/>
      <c r="H24" s="43"/>
      <c r="I24" s="43"/>
      <c r="J24" s="87"/>
      <c r="K24" s="202"/>
      <c r="L24" s="43"/>
      <c r="M24" s="203"/>
      <c r="N24" s="204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6" customFormat="1" ht="12" x14ac:dyDescent="0.25">
      <c r="A25" s="43"/>
      <c r="B25" s="201"/>
      <c r="C25" s="43"/>
      <c r="D25" s="43"/>
      <c r="E25" s="43"/>
      <c r="F25" s="268"/>
      <c r="G25" s="267"/>
      <c r="H25" s="88"/>
      <c r="I25" s="88"/>
      <c r="J25" s="189"/>
      <c r="K25" s="188"/>
      <c r="L25" s="88"/>
      <c r="M25" s="189"/>
      <c r="N25" s="1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x14ac:dyDescent="0.25">
      <c r="A26" s="43"/>
      <c r="B26" s="54"/>
      <c r="C26" s="43"/>
      <c r="D26" s="43"/>
      <c r="E26" s="43"/>
      <c r="F26" s="43"/>
      <c r="G26" s="43"/>
      <c r="H26" s="43"/>
      <c r="I26" s="43"/>
      <c r="J26" s="87"/>
      <c r="K26" s="202"/>
      <c r="L26" s="43"/>
      <c r="M26" s="203"/>
      <c r="N26" s="204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6" customFormat="1" ht="12" x14ac:dyDescent="0.25">
      <c r="A27" s="43"/>
      <c r="B27" s="201"/>
      <c r="C27" s="43"/>
      <c r="D27" s="43"/>
      <c r="E27" s="43"/>
      <c r="F27" s="186"/>
      <c r="G27" s="267"/>
      <c r="H27" s="88"/>
      <c r="I27" s="88"/>
      <c r="J27" s="189"/>
      <c r="K27" s="188"/>
      <c r="L27" s="88"/>
      <c r="M27" s="189"/>
      <c r="N27" s="1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6" customFormat="1" ht="12" x14ac:dyDescent="0.25">
      <c r="A28" s="43"/>
      <c r="B28" s="54"/>
      <c r="C28" s="43"/>
      <c r="D28" s="43"/>
      <c r="E28" s="43"/>
      <c r="F28" s="268"/>
      <c r="G28" s="267"/>
      <c r="H28" s="88"/>
      <c r="I28" s="88"/>
      <c r="J28" s="189"/>
      <c r="K28" s="188"/>
      <c r="L28" s="88"/>
      <c r="M28" s="189"/>
      <c r="N28" s="1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 t="shared" si="1"/>
        <v/>
      </c>
      <c r="AJ28" s="88" t="str">
        <f t="shared" si="2"/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</sheetData>
  <dataConsolidate/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11" priority="1" stopIfTrue="1">
      <formula>$FE$683&gt;0</formula>
    </cfRule>
    <cfRule type="expression" dxfId="10" priority="2" stopIfTrue="1">
      <formula>$FF$683&gt;0</formula>
    </cfRule>
  </conditionalFormatting>
  <pageMargins left="0.27559055118110237" right="0.19685039370078741" top="0.27559055118110237" bottom="0.35433070866141736" header="0.31496062992125984" footer="0.35433070866141736"/>
  <pageSetup paperSize="9" scale="110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HD28"/>
  <sheetViews>
    <sheetView zoomScaleNormal="100" workbookViewId="0">
      <selection activeCell="AI6" sqref="AI6:AI28"/>
    </sheetView>
  </sheetViews>
  <sheetFormatPr defaultRowHeight="13.2" x14ac:dyDescent="0.25"/>
  <cols>
    <col min="1" max="1" width="3.33203125" customWidth="1"/>
    <col min="2" max="2" width="44.33203125" customWidth="1"/>
    <col min="3" max="3" width="12.109375" bestFit="1" customWidth="1"/>
    <col min="4" max="4" width="4.6640625" bestFit="1" customWidth="1"/>
    <col min="5" max="5" width="2.33203125" customWidth="1"/>
    <col min="6" max="6" width="3.44140625" bestFit="1" customWidth="1"/>
    <col min="7" max="7" width="3.5546875" customWidth="1"/>
    <col min="8" max="8" width="2.88671875" customWidth="1"/>
    <col min="9" max="9" width="2.33203125" customWidth="1"/>
    <col min="10" max="10" width="4.44140625" customWidth="1"/>
    <col min="11" max="13" width="2.5546875" customWidth="1"/>
    <col min="14" max="14" width="2.33203125" customWidth="1"/>
    <col min="15" max="15" width="2.5546875" customWidth="1"/>
    <col min="16" max="16" width="2.88671875" bestFit="1" customWidth="1"/>
    <col min="17" max="17" width="2.5546875" customWidth="1"/>
    <col min="18" max="18" width="2.33203125" customWidth="1"/>
    <col min="19" max="22" width="2.5546875" customWidth="1"/>
    <col min="23" max="23" width="2.33203125" customWidth="1"/>
    <col min="24" max="33" width="2.5546875" customWidth="1"/>
    <col min="34" max="34" width="3.88671875" customWidth="1"/>
    <col min="35" max="35" width="3.5546875" customWidth="1"/>
    <col min="36" max="36" width="3.33203125" customWidth="1"/>
    <col min="37" max="37" width="4.33203125" customWidth="1"/>
    <col min="38" max="38" width="3.5546875" customWidth="1"/>
    <col min="39" max="39" width="3.88671875" customWidth="1"/>
    <col min="40" max="40" width="3.33203125" customWidth="1"/>
    <col min="41" max="41" width="4.44140625" customWidth="1"/>
    <col min="42" max="42" width="4.33203125" customWidth="1"/>
    <col min="43" max="43" width="3.6640625" customWidth="1"/>
    <col min="44" max="44" width="2.88671875" customWidth="1"/>
    <col min="45" max="45" width="3.6640625" customWidth="1"/>
    <col min="46" max="46" width="4.88671875" bestFit="1" customWidth="1"/>
    <col min="47" max="47" width="3.44140625" customWidth="1"/>
    <col min="48" max="48" width="3.5546875" customWidth="1"/>
    <col min="49" max="49" width="3.44140625" customWidth="1"/>
    <col min="50" max="57" width="4" customWidth="1"/>
    <col min="58" max="58" width="6.44140625" customWidth="1"/>
  </cols>
  <sheetData>
    <row r="1" spans="1:60" s="25" customFormat="1" x14ac:dyDescent="0.25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4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79.8" thickBot="1" x14ac:dyDescent="0.3">
      <c r="A3" s="318" t="s">
        <v>1</v>
      </c>
      <c r="B3" s="300" t="s">
        <v>2</v>
      </c>
      <c r="C3" s="322" t="s">
        <v>3</v>
      </c>
      <c r="D3" s="304" t="s">
        <v>77</v>
      </c>
      <c r="E3" s="304" t="s">
        <v>40</v>
      </c>
      <c r="F3" s="324" t="s">
        <v>4</v>
      </c>
      <c r="G3" s="316" t="s">
        <v>5</v>
      </c>
      <c r="H3" s="316"/>
      <c r="I3" s="316"/>
      <c r="J3" s="317"/>
      <c r="K3" s="292" t="s">
        <v>46</v>
      </c>
      <c r="L3" s="293"/>
      <c r="M3" s="293"/>
      <c r="N3" s="293"/>
      <c r="O3" s="293"/>
      <c r="P3" s="293"/>
      <c r="Q3" s="293"/>
      <c r="R3" s="293"/>
      <c r="S3" s="293"/>
      <c r="T3" s="293"/>
      <c r="U3" s="293"/>
      <c r="V3" s="293"/>
      <c r="W3" s="293"/>
      <c r="X3" s="293"/>
      <c r="Y3" s="293"/>
      <c r="Z3" s="293"/>
      <c r="AA3" s="293"/>
      <c r="AB3" s="293"/>
      <c r="AC3" s="293"/>
      <c r="AD3" s="293"/>
      <c r="AE3" s="293"/>
      <c r="AF3" s="293"/>
      <c r="AG3" s="294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2.4" x14ac:dyDescent="0.25">
      <c r="A4" s="319"/>
      <c r="B4" s="301"/>
      <c r="C4" s="323"/>
      <c r="D4" s="305"/>
      <c r="E4" s="305"/>
      <c r="F4" s="325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245</v>
      </c>
    </row>
    <row r="5" spans="1:60" x14ac:dyDescent="0.25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12.75" customHeight="1" x14ac:dyDescent="0.25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>IF(M6&lt;&gt;"",I6*M6*K6,"")</f>
        <v/>
      </c>
      <c r="AK6" s="88">
        <f>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5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8" si="0">IF(K7&lt;&gt;"",H7*K7,"")</f>
        <v/>
      </c>
      <c r="AI7" s="88" t="str">
        <f t="shared" ref="AI7:AI28" si="1">IF(L7&lt;&gt;"",H7*L7,"")</f>
        <v/>
      </c>
      <c r="AJ7" s="88" t="str">
        <f t="shared" ref="AJ7:AJ28" si="2">IF(M7&lt;&gt;"",I7*M7*K7,"")</f>
        <v/>
      </c>
      <c r="AK7" s="88">
        <f t="shared" ref="AK7:AK28" si="3">IF(E7="з",0.15,0.05)*IF(AH7&lt;&gt;"",AH7,0)+2*IF(N7=1,1,0)</f>
        <v>0</v>
      </c>
      <c r="AL7" s="88" t="str">
        <f t="shared" ref="AL7:AL28" si="4">IF(N7&lt;&gt;"",0.33*G7,"")</f>
        <v/>
      </c>
      <c r="AM7" s="88" t="str">
        <f t="shared" ref="AM7:AM28" si="5">IF(O7="+",0.25*G7,IF(O7="+Д",G7*0.33,""))</f>
        <v/>
      </c>
      <c r="AN7" s="88"/>
      <c r="AO7" s="88" t="str">
        <f t="shared" ref="AO7:AO28" si="6">IF(Q7&lt;&gt;"",2*G7,"")</f>
        <v/>
      </c>
      <c r="AP7" s="88" t="str">
        <f t="shared" ref="AP7:AP28" si="7">IF(R7&lt;&gt;"",3*H7,"")</f>
        <v/>
      </c>
      <c r="AQ7" s="88"/>
      <c r="AR7" s="88"/>
      <c r="AS7" s="88"/>
      <c r="AT7" s="88" t="str">
        <f t="shared" ref="AT7:AT28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6" customFormat="1" ht="12" x14ac:dyDescent="0.25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5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3.5" customHeight="1" x14ac:dyDescent="0.25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5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5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5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5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ht="14.25" customHeight="1" x14ac:dyDescent="0.25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5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5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5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5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5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6" customFormat="1" ht="12" x14ac:dyDescent="0.25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3.5" customHeight="1" x14ac:dyDescent="0.25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x14ac:dyDescent="0.25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6" customFormat="1" ht="12" x14ac:dyDescent="0.25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x14ac:dyDescent="0.25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6" customFormat="1" ht="12" x14ac:dyDescent="0.25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6" customFormat="1" ht="12" x14ac:dyDescent="0.25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 t="shared" si="1"/>
        <v/>
      </c>
      <c r="AJ28" s="88" t="str">
        <f t="shared" si="2"/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9" priority="1" stopIfTrue="1">
      <formula>$FE$683&gt;0</formula>
    </cfRule>
    <cfRule type="expression" dxfId="8" priority="2" stopIfTrue="1">
      <formula>$FF$683&gt;0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HD28"/>
  <sheetViews>
    <sheetView zoomScale="40" zoomScaleNormal="40" workbookViewId="0">
      <selection activeCell="AI6" sqref="AI6:AI28"/>
    </sheetView>
  </sheetViews>
  <sheetFormatPr defaultRowHeight="13.2" x14ac:dyDescent="0.25"/>
  <cols>
    <col min="1" max="1" width="3.33203125" customWidth="1"/>
    <col min="2" max="2" width="44.33203125" customWidth="1"/>
    <col min="3" max="3" width="12.109375" bestFit="1" customWidth="1"/>
    <col min="4" max="4" width="4.6640625" bestFit="1" customWidth="1"/>
    <col min="5" max="5" width="2.33203125" customWidth="1"/>
    <col min="6" max="6" width="3.44140625" bestFit="1" customWidth="1"/>
    <col min="7" max="7" width="3.5546875" customWidth="1"/>
    <col min="8" max="8" width="2.88671875" customWidth="1"/>
    <col min="9" max="9" width="2.33203125" customWidth="1"/>
    <col min="10" max="10" width="4.44140625" customWidth="1"/>
    <col min="11" max="13" width="2.5546875" customWidth="1"/>
    <col min="14" max="14" width="2.33203125" customWidth="1"/>
    <col min="15" max="15" width="2.5546875" customWidth="1"/>
    <col min="16" max="16" width="2.88671875" bestFit="1" customWidth="1"/>
    <col min="17" max="17" width="2.5546875" customWidth="1"/>
    <col min="18" max="18" width="2.33203125" customWidth="1"/>
    <col min="19" max="22" width="2.5546875" customWidth="1"/>
    <col min="23" max="23" width="2.33203125" customWidth="1"/>
    <col min="24" max="33" width="2.5546875" customWidth="1"/>
    <col min="34" max="34" width="3.88671875" customWidth="1"/>
    <col min="35" max="35" width="3.5546875" customWidth="1"/>
    <col min="36" max="36" width="3.33203125" customWidth="1"/>
    <col min="37" max="37" width="4.33203125" customWidth="1"/>
    <col min="38" max="38" width="3.5546875" customWidth="1"/>
    <col min="39" max="39" width="3.88671875" customWidth="1"/>
    <col min="40" max="40" width="3.33203125" customWidth="1"/>
    <col min="41" max="41" width="4.44140625" customWidth="1"/>
    <col min="42" max="42" width="4.33203125" customWidth="1"/>
    <col min="43" max="43" width="3.6640625" customWidth="1"/>
    <col min="44" max="44" width="2.88671875" customWidth="1"/>
    <col min="45" max="45" width="3.6640625" customWidth="1"/>
    <col min="46" max="46" width="4.88671875" bestFit="1" customWidth="1"/>
    <col min="47" max="47" width="3.44140625" customWidth="1"/>
    <col min="48" max="48" width="3.5546875" customWidth="1"/>
    <col min="49" max="49" width="3.44140625" customWidth="1"/>
    <col min="50" max="57" width="4" customWidth="1"/>
    <col min="58" max="58" width="6.44140625" customWidth="1"/>
  </cols>
  <sheetData>
    <row r="1" spans="1:60" s="25" customFormat="1" x14ac:dyDescent="0.25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4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82.2" thickBot="1" x14ac:dyDescent="0.3">
      <c r="A3" s="318" t="s">
        <v>1</v>
      </c>
      <c r="B3" s="300" t="s">
        <v>2</v>
      </c>
      <c r="C3" s="322" t="s">
        <v>3</v>
      </c>
      <c r="D3" s="304" t="s">
        <v>77</v>
      </c>
      <c r="E3" s="304" t="s">
        <v>40</v>
      </c>
      <c r="F3" s="324" t="s">
        <v>4</v>
      </c>
      <c r="G3" s="316" t="s">
        <v>5</v>
      </c>
      <c r="H3" s="316"/>
      <c r="I3" s="316"/>
      <c r="J3" s="317"/>
      <c r="K3" s="292" t="s">
        <v>46</v>
      </c>
      <c r="L3" s="293"/>
      <c r="M3" s="293"/>
      <c r="N3" s="293"/>
      <c r="O3" s="293"/>
      <c r="P3" s="293"/>
      <c r="Q3" s="293"/>
      <c r="R3" s="293"/>
      <c r="S3" s="293"/>
      <c r="T3" s="293"/>
      <c r="U3" s="293"/>
      <c r="V3" s="293"/>
      <c r="W3" s="293"/>
      <c r="X3" s="293"/>
      <c r="Y3" s="293"/>
      <c r="Z3" s="293"/>
      <c r="AA3" s="293"/>
      <c r="AB3" s="293"/>
      <c r="AC3" s="293"/>
      <c r="AD3" s="293"/>
      <c r="AE3" s="293"/>
      <c r="AF3" s="293"/>
      <c r="AG3" s="294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5.4" x14ac:dyDescent="0.25">
      <c r="A4" s="319"/>
      <c r="B4" s="301"/>
      <c r="C4" s="323"/>
      <c r="D4" s="305"/>
      <c r="E4" s="305"/>
      <c r="F4" s="325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242</v>
      </c>
    </row>
    <row r="5" spans="1:60" x14ac:dyDescent="0.25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14.25" customHeight="1" x14ac:dyDescent="0.25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>IF(M6&lt;&gt;"",H6*M6*J6,"")</f>
        <v/>
      </c>
      <c r="AK6" s="88">
        <f>IF(E6="з",0.15,0.05)*IF(AH6&lt;&gt;"",AH6,0)+2*IF(N6=1,1,0)</f>
        <v>0</v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customHeight="1" x14ac:dyDescent="0.25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8" si="0">IF(K7&lt;&gt;"",H7*K7,"")</f>
        <v/>
      </c>
      <c r="AI7" s="88" t="str">
        <f t="shared" ref="AI7:AI28" si="1">IF(L7&lt;&gt;"",H7*L7,"")</f>
        <v/>
      </c>
      <c r="AJ7" s="88" t="str">
        <f t="shared" ref="AJ7:AJ28" si="2">IF(M7&lt;&gt;"",H7*M7*J7,"")</f>
        <v/>
      </c>
      <c r="AK7" s="88">
        <f t="shared" ref="AK7:AK28" si="3">IF(E7="з",0.15,0.05)*IF(AH7&lt;&gt;"",AH7,0)+2*IF(N7=1,1,0)</f>
        <v>0</v>
      </c>
      <c r="AL7" s="88" t="str">
        <f t="shared" ref="AL7:AL28" si="4">IF(N7&lt;&gt;"",0.33*G7,"")</f>
        <v/>
      </c>
      <c r="AM7" s="88" t="str">
        <f t="shared" ref="AM7:AM28" si="5">IF(O7="+",0.25*G7,IF(O7="+Д",G7*0.33,""))</f>
        <v/>
      </c>
      <c r="AN7" s="88"/>
      <c r="AO7" s="88" t="str">
        <f t="shared" ref="AO7:AO28" si="6">IF(Q7&lt;&gt;"",2*G7,"")</f>
        <v/>
      </c>
      <c r="AP7" s="88" t="str">
        <f t="shared" ref="AP7:AP28" si="7">IF(R7&lt;&gt;"",3*H7,"")</f>
        <v/>
      </c>
      <c r="AQ7" s="88"/>
      <c r="AR7" s="88"/>
      <c r="AS7" s="88"/>
      <c r="AT7" s="88" t="str">
        <f t="shared" ref="AT7:AT28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7" si="9">SUM(AH7:BE7)</f>
        <v>0</v>
      </c>
    </row>
    <row r="8" spans="1:60" s="6" customFormat="1" ht="14.25" customHeight="1" x14ac:dyDescent="0.25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>
        <f t="shared" si="3"/>
        <v>0</v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4.25" customHeight="1" x14ac:dyDescent="0.25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>
        <f t="shared" si="3"/>
        <v>0</v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2" x14ac:dyDescent="0.25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>
        <f t="shared" si="3"/>
        <v>0</v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5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>
        <f t="shared" si="3"/>
        <v>0</v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5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>
        <f t="shared" si="3"/>
        <v>0</v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5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>
        <f t="shared" si="3"/>
        <v>0</v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ht="14.25" customHeight="1" x14ac:dyDescent="0.25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>
        <f t="shared" si="3"/>
        <v>0</v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x14ac:dyDescent="0.25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>
        <f t="shared" si="3"/>
        <v>0</v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5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>
        <f t="shared" si="3"/>
        <v>0</v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5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>
        <f t="shared" si="3"/>
        <v>0</v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5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>
        <f t="shared" si="3"/>
        <v>0</v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5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>
        <f t="shared" si="3"/>
        <v>0</v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5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>
        <f t="shared" si="3"/>
        <v>0</v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6" customFormat="1" ht="12" x14ac:dyDescent="0.25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>
        <f t="shared" si="3"/>
        <v>0</v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2" x14ac:dyDescent="0.25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>
        <f t="shared" si="3"/>
        <v>0</v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>
        <f t="shared" si="3"/>
        <v>0</v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x14ac:dyDescent="0.25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>
        <f t="shared" si="3"/>
        <v>0</v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6" customFormat="1" ht="12" x14ac:dyDescent="0.25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>
        <f t="shared" si="3"/>
        <v>0</v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x14ac:dyDescent="0.25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>
        <f t="shared" si="3"/>
        <v>0</v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6" customFormat="1" ht="12" x14ac:dyDescent="0.25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>
        <f t="shared" si="3"/>
        <v>0</v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6" customFormat="1" ht="12" x14ac:dyDescent="0.25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 t="shared" si="1"/>
        <v/>
      </c>
      <c r="AJ28" s="88" t="str">
        <f t="shared" si="2"/>
        <v/>
      </c>
      <c r="AK28" s="88">
        <f t="shared" si="3"/>
        <v>0</v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>SUM(AH28:BE28)</f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7" priority="1" stopIfTrue="1">
      <formula>$FE$682&gt;0</formula>
    </cfRule>
    <cfRule type="expression" dxfId="6" priority="2" stopIfTrue="1">
      <formula>$FF$682&gt;0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HD28"/>
  <sheetViews>
    <sheetView topLeftCell="D1" zoomScale="55" zoomScaleNormal="55" workbookViewId="0">
      <selection activeCell="BJ27" sqref="BJ27"/>
    </sheetView>
  </sheetViews>
  <sheetFormatPr defaultRowHeight="13.2" x14ac:dyDescent="0.25"/>
  <cols>
    <col min="1" max="1" width="3.33203125" customWidth="1"/>
    <col min="2" max="2" width="44.33203125" customWidth="1"/>
    <col min="3" max="3" width="12.109375" bestFit="1" customWidth="1"/>
    <col min="4" max="4" width="4.6640625" bestFit="1" customWidth="1"/>
    <col min="5" max="5" width="2.33203125" customWidth="1"/>
    <col min="6" max="6" width="3.44140625" bestFit="1" customWidth="1"/>
    <col min="7" max="7" width="3.5546875" customWidth="1"/>
    <col min="8" max="8" width="2.88671875" customWidth="1"/>
    <col min="9" max="9" width="2.33203125" customWidth="1"/>
    <col min="10" max="10" width="4.44140625" customWidth="1"/>
    <col min="11" max="13" width="2.5546875" customWidth="1"/>
    <col min="14" max="14" width="2.33203125" customWidth="1"/>
    <col min="15" max="15" width="2.5546875" customWidth="1"/>
    <col min="16" max="16" width="2.88671875" bestFit="1" customWidth="1"/>
    <col min="17" max="17" width="2.5546875" customWidth="1"/>
    <col min="18" max="18" width="2.33203125" customWidth="1"/>
    <col min="19" max="22" width="2.5546875" customWidth="1"/>
    <col min="23" max="23" width="2.33203125" customWidth="1"/>
    <col min="24" max="33" width="2.5546875" customWidth="1"/>
    <col min="34" max="34" width="3.88671875" customWidth="1"/>
    <col min="35" max="35" width="3.5546875" customWidth="1"/>
    <col min="36" max="36" width="3.33203125" customWidth="1"/>
    <col min="37" max="37" width="4.33203125" customWidth="1"/>
    <col min="38" max="38" width="3.5546875" customWidth="1"/>
    <col min="39" max="39" width="3.88671875" customWidth="1"/>
    <col min="40" max="40" width="3.33203125" customWidth="1"/>
    <col min="41" max="41" width="4.44140625" customWidth="1"/>
    <col min="42" max="42" width="4.33203125" customWidth="1"/>
    <col min="43" max="43" width="3.6640625" customWidth="1"/>
    <col min="44" max="44" width="2.88671875" customWidth="1"/>
    <col min="45" max="45" width="3.6640625" customWidth="1"/>
    <col min="46" max="46" width="4.88671875" bestFit="1" customWidth="1"/>
    <col min="47" max="47" width="3.44140625" customWidth="1"/>
    <col min="48" max="48" width="3.5546875" customWidth="1"/>
    <col min="49" max="49" width="3.44140625" customWidth="1"/>
    <col min="50" max="57" width="4" customWidth="1"/>
    <col min="58" max="58" width="6.44140625" customWidth="1"/>
  </cols>
  <sheetData>
    <row r="1" spans="1:60" s="25" customFormat="1" x14ac:dyDescent="0.25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4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51" customHeight="1" thickBot="1" x14ac:dyDescent="0.3">
      <c r="A3" s="318" t="s">
        <v>1</v>
      </c>
      <c r="B3" s="300" t="s">
        <v>2</v>
      </c>
      <c r="C3" s="322" t="s">
        <v>3</v>
      </c>
      <c r="D3" s="304" t="s">
        <v>77</v>
      </c>
      <c r="E3" s="304" t="s">
        <v>40</v>
      </c>
      <c r="F3" s="324" t="s">
        <v>4</v>
      </c>
      <c r="G3" s="316" t="s">
        <v>5</v>
      </c>
      <c r="H3" s="316"/>
      <c r="I3" s="316"/>
      <c r="J3" s="317"/>
      <c r="K3" s="292" t="s">
        <v>46</v>
      </c>
      <c r="L3" s="293"/>
      <c r="M3" s="293"/>
      <c r="N3" s="293"/>
      <c r="O3" s="293"/>
      <c r="P3" s="293"/>
      <c r="Q3" s="293"/>
      <c r="R3" s="293"/>
      <c r="S3" s="293"/>
      <c r="T3" s="293"/>
      <c r="U3" s="293"/>
      <c r="V3" s="293"/>
      <c r="W3" s="293"/>
      <c r="X3" s="293"/>
      <c r="Y3" s="293"/>
      <c r="Z3" s="293"/>
      <c r="AA3" s="293"/>
      <c r="AB3" s="293"/>
      <c r="AC3" s="293"/>
      <c r="AD3" s="293"/>
      <c r="AE3" s="293"/>
      <c r="AF3" s="293"/>
      <c r="AG3" s="294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4.2" x14ac:dyDescent="0.25">
      <c r="A4" s="319"/>
      <c r="B4" s="301"/>
      <c r="C4" s="323"/>
      <c r="D4" s="305"/>
      <c r="E4" s="305"/>
      <c r="F4" s="325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76</v>
      </c>
    </row>
    <row r="5" spans="1:60" x14ac:dyDescent="0.25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24.75" customHeight="1" x14ac:dyDescent="0.25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 t="str">
        <f>IF(K6&lt;&gt;"",H6*K6,"")</f>
        <v/>
      </c>
      <c r="AI6" s="43" t="str">
        <f>IF(L6&lt;&gt;"",H6*L6,"")</f>
        <v/>
      </c>
      <c r="AJ6" s="43" t="str">
        <f>IF(M6&lt;&gt;"",H6*M6*J6,"")</f>
        <v/>
      </c>
      <c r="AK6" s="43">
        <f>IF(E6="з",0.15,0.05)*IF(AH6&lt;&gt;"",AH6,0)+2*IF(N6=1,1,0)</f>
        <v>0</v>
      </c>
      <c r="AL6" s="43" t="str">
        <f>IF(N6&lt;&gt;"",0.33*G6,"")</f>
        <v/>
      </c>
      <c r="AM6" s="43" t="str">
        <f>IF(O6="+",0.25*G6,IF(O6="+Д",G6*0.33,""))</f>
        <v/>
      </c>
      <c r="AN6" s="43"/>
      <c r="AO6" s="43" t="str">
        <f>IF(Q6&lt;&gt;"",2*G6,"")</f>
        <v/>
      </c>
      <c r="AP6" s="43" t="str">
        <f>IF(R6&lt;&gt;"",3*H6,"")</f>
        <v/>
      </c>
      <c r="AQ6" s="43"/>
      <c r="AR6" s="43"/>
      <c r="AS6" s="43"/>
      <c r="AT6" s="43" t="str">
        <f>IF(V6&lt;&gt;"",0.5*G6,"")</f>
        <v/>
      </c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>
        <f>SUM(AH6:BE6)</f>
        <v>0</v>
      </c>
    </row>
    <row r="7" spans="1:60" s="6" customFormat="1" ht="12" x14ac:dyDescent="0.25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 t="str">
        <f t="shared" ref="AH7:AH28" si="0">IF(K7&lt;&gt;"",H7*K7,"")</f>
        <v/>
      </c>
      <c r="AI7" s="43" t="str">
        <f t="shared" ref="AI7:AI28" si="1">IF(L7&lt;&gt;"",H7*L7,"")</f>
        <v/>
      </c>
      <c r="AJ7" s="43" t="str">
        <f t="shared" ref="AJ7:AJ28" si="2">IF(M7&lt;&gt;"",H7*M7*J7,"")</f>
        <v/>
      </c>
      <c r="AK7" s="43">
        <f t="shared" ref="AK7:AK28" si="3">IF(E7="з",0.15,0.05)*IF(AH7&lt;&gt;"",AH7,0)+2*IF(N7=1,1,0)</f>
        <v>0</v>
      </c>
      <c r="AL7" s="43" t="str">
        <f t="shared" ref="AL7:AL28" si="4">IF(N7&lt;&gt;"",0.33*G7,"")</f>
        <v/>
      </c>
      <c r="AM7" s="43" t="str">
        <f t="shared" ref="AM7:AM28" si="5">IF(O7="+",0.25*G7,IF(O7="+Д",G7*0.33,""))</f>
        <v/>
      </c>
      <c r="AN7" s="43"/>
      <c r="AO7" s="43" t="str">
        <f t="shared" ref="AO7:AO28" si="6">IF(Q7&lt;&gt;"",2*G7,"")</f>
        <v/>
      </c>
      <c r="AP7" s="43" t="str">
        <f t="shared" ref="AP7:AP28" si="7">IF(R7&lt;&gt;"",3*H7,"")</f>
        <v/>
      </c>
      <c r="AQ7" s="43"/>
      <c r="AR7" s="43"/>
      <c r="AS7" s="43"/>
      <c r="AT7" s="43" t="str">
        <f t="shared" ref="AT7:AT28" si="8">IF(V7&lt;&gt;"",0.5*G7,"")</f>
        <v/>
      </c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>
        <f t="shared" ref="BF7:BF28" si="9">SUM(AH7:BE7)</f>
        <v>0</v>
      </c>
    </row>
    <row r="8" spans="1:60" s="6" customFormat="1" ht="12" x14ac:dyDescent="0.25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 t="str">
        <f t="shared" si="0"/>
        <v/>
      </c>
      <c r="AI8" s="43" t="str">
        <f t="shared" si="1"/>
        <v/>
      </c>
      <c r="AJ8" s="43" t="str">
        <f t="shared" si="2"/>
        <v/>
      </c>
      <c r="AK8" s="43">
        <f t="shared" si="3"/>
        <v>0</v>
      </c>
      <c r="AL8" s="43" t="str">
        <f t="shared" si="4"/>
        <v/>
      </c>
      <c r="AM8" s="43" t="str">
        <f t="shared" si="5"/>
        <v/>
      </c>
      <c r="AN8" s="43"/>
      <c r="AO8" s="43" t="str">
        <f t="shared" si="6"/>
        <v/>
      </c>
      <c r="AP8" s="43" t="str">
        <f t="shared" si="7"/>
        <v/>
      </c>
      <c r="AQ8" s="43"/>
      <c r="AR8" s="43"/>
      <c r="AS8" s="43"/>
      <c r="AT8" s="43" t="str">
        <f t="shared" si="8"/>
        <v/>
      </c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>
        <f t="shared" si="9"/>
        <v>0</v>
      </c>
    </row>
    <row r="9" spans="1:60" s="6" customFormat="1" ht="12" x14ac:dyDescent="0.25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 t="str">
        <f t="shared" si="0"/>
        <v/>
      </c>
      <c r="AI9" s="43" t="str">
        <f t="shared" si="1"/>
        <v/>
      </c>
      <c r="AJ9" s="43" t="str">
        <f t="shared" si="2"/>
        <v/>
      </c>
      <c r="AK9" s="43">
        <f t="shared" si="3"/>
        <v>0</v>
      </c>
      <c r="AL9" s="43" t="str">
        <f t="shared" si="4"/>
        <v/>
      </c>
      <c r="AM9" s="43" t="str">
        <f t="shared" si="5"/>
        <v/>
      </c>
      <c r="AN9" s="43"/>
      <c r="AO9" s="43" t="str">
        <f t="shared" si="6"/>
        <v/>
      </c>
      <c r="AP9" s="43" t="str">
        <f t="shared" si="7"/>
        <v/>
      </c>
      <c r="AQ9" s="43"/>
      <c r="AR9" s="43"/>
      <c r="AS9" s="43"/>
      <c r="AT9" s="43" t="str">
        <f t="shared" si="8"/>
        <v/>
      </c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>
        <f t="shared" si="9"/>
        <v>0</v>
      </c>
      <c r="BG9" s="93"/>
    </row>
    <row r="10" spans="1:60" s="6" customFormat="1" ht="12" x14ac:dyDescent="0.25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 t="str">
        <f t="shared" si="0"/>
        <v/>
      </c>
      <c r="AI10" s="43" t="str">
        <f t="shared" si="1"/>
        <v/>
      </c>
      <c r="AJ10" s="43" t="str">
        <f t="shared" si="2"/>
        <v/>
      </c>
      <c r="AK10" s="43">
        <f t="shared" si="3"/>
        <v>0</v>
      </c>
      <c r="AL10" s="43" t="str">
        <f t="shared" si="4"/>
        <v/>
      </c>
      <c r="AM10" s="43" t="str">
        <f t="shared" si="5"/>
        <v/>
      </c>
      <c r="AN10" s="43"/>
      <c r="AO10" s="43" t="str">
        <f t="shared" si="6"/>
        <v/>
      </c>
      <c r="AP10" s="43" t="str">
        <f t="shared" si="7"/>
        <v/>
      </c>
      <c r="AQ10" s="43"/>
      <c r="AR10" s="43"/>
      <c r="AS10" s="43"/>
      <c r="AT10" s="43" t="str">
        <f t="shared" si="8"/>
        <v/>
      </c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>
        <f t="shared" si="9"/>
        <v>0</v>
      </c>
      <c r="BG10" s="93"/>
    </row>
    <row r="11" spans="1:60" s="6" customFormat="1" ht="12" x14ac:dyDescent="0.25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 t="str">
        <f t="shared" si="0"/>
        <v/>
      </c>
      <c r="AI11" s="43" t="str">
        <f t="shared" si="1"/>
        <v/>
      </c>
      <c r="AJ11" s="43" t="str">
        <f t="shared" si="2"/>
        <v/>
      </c>
      <c r="AK11" s="43">
        <f t="shared" si="3"/>
        <v>0</v>
      </c>
      <c r="AL11" s="43" t="str">
        <f t="shared" si="4"/>
        <v/>
      </c>
      <c r="AM11" s="43" t="str">
        <f t="shared" si="5"/>
        <v/>
      </c>
      <c r="AN11" s="43"/>
      <c r="AO11" s="43" t="str">
        <f t="shared" si="6"/>
        <v/>
      </c>
      <c r="AP11" s="43" t="str">
        <f t="shared" si="7"/>
        <v/>
      </c>
      <c r="AQ11" s="43"/>
      <c r="AR11" s="43"/>
      <c r="AS11" s="43"/>
      <c r="AT11" s="43" t="str">
        <f t="shared" si="8"/>
        <v/>
      </c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>
        <f t="shared" si="9"/>
        <v>0</v>
      </c>
    </row>
    <row r="12" spans="1:60" s="6" customFormat="1" x14ac:dyDescent="0.25">
      <c r="A12" s="43"/>
      <c r="B12" s="54"/>
      <c r="C12" s="43"/>
      <c r="D12" s="43"/>
      <c r="E12" s="43"/>
      <c r="F12" s="224"/>
      <c r="G12" s="251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 t="str">
        <f t="shared" si="0"/>
        <v/>
      </c>
      <c r="AI12" s="43" t="str">
        <f t="shared" si="1"/>
        <v/>
      </c>
      <c r="AJ12" s="43" t="str">
        <f t="shared" si="2"/>
        <v/>
      </c>
      <c r="AK12" s="43">
        <f t="shared" si="3"/>
        <v>0</v>
      </c>
      <c r="AL12" s="43" t="str">
        <f t="shared" si="4"/>
        <v/>
      </c>
      <c r="AM12" s="43" t="str">
        <f t="shared" si="5"/>
        <v/>
      </c>
      <c r="AN12" s="43"/>
      <c r="AO12" s="43" t="str">
        <f t="shared" si="6"/>
        <v/>
      </c>
      <c r="AP12" s="43" t="str">
        <f t="shared" si="7"/>
        <v/>
      </c>
      <c r="AQ12" s="43"/>
      <c r="AR12" s="43"/>
      <c r="AS12" s="43"/>
      <c r="AT12" s="43" t="str">
        <f t="shared" si="8"/>
        <v/>
      </c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>
        <f t="shared" si="9"/>
        <v>0</v>
      </c>
    </row>
    <row r="13" spans="1:60" s="6" customFormat="1" x14ac:dyDescent="0.25">
      <c r="A13" s="43"/>
      <c r="B13" s="201"/>
      <c r="C13" s="43"/>
      <c r="D13" s="43"/>
      <c r="E13" s="43"/>
      <c r="F13" s="224"/>
      <c r="G13" s="251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 t="str">
        <f t="shared" si="0"/>
        <v/>
      </c>
      <c r="AI13" s="43" t="str">
        <f t="shared" si="1"/>
        <v/>
      </c>
      <c r="AJ13" s="43" t="str">
        <f t="shared" si="2"/>
        <v/>
      </c>
      <c r="AK13" s="43">
        <f t="shared" si="3"/>
        <v>0</v>
      </c>
      <c r="AL13" s="43" t="str">
        <f t="shared" si="4"/>
        <v/>
      </c>
      <c r="AM13" s="43" t="str">
        <f t="shared" si="5"/>
        <v/>
      </c>
      <c r="AN13" s="43"/>
      <c r="AO13" s="43" t="str">
        <f t="shared" si="6"/>
        <v/>
      </c>
      <c r="AP13" s="43" t="str">
        <f t="shared" si="7"/>
        <v/>
      </c>
      <c r="AQ13" s="43"/>
      <c r="AR13" s="43"/>
      <c r="AS13" s="43"/>
      <c r="AT13" s="43" t="str">
        <f t="shared" si="8"/>
        <v/>
      </c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>
        <f t="shared" si="9"/>
        <v>0</v>
      </c>
    </row>
    <row r="14" spans="1:60" s="6" customFormat="1" x14ac:dyDescent="0.25">
      <c r="A14" s="43"/>
      <c r="B14" s="54"/>
      <c r="C14" s="43"/>
      <c r="D14" s="43"/>
      <c r="E14" s="43"/>
      <c r="F14" s="224"/>
      <c r="G14" s="251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 t="str">
        <f t="shared" si="0"/>
        <v/>
      </c>
      <c r="AI14" s="43" t="str">
        <f t="shared" si="1"/>
        <v/>
      </c>
      <c r="AJ14" s="43" t="str">
        <f t="shared" si="2"/>
        <v/>
      </c>
      <c r="AK14" s="43">
        <f t="shared" si="3"/>
        <v>0</v>
      </c>
      <c r="AL14" s="43" t="str">
        <f t="shared" si="4"/>
        <v/>
      </c>
      <c r="AM14" s="43" t="str">
        <f t="shared" si="5"/>
        <v/>
      </c>
      <c r="AN14" s="43"/>
      <c r="AO14" s="43" t="str">
        <f t="shared" si="6"/>
        <v/>
      </c>
      <c r="AP14" s="43" t="str">
        <f t="shared" si="7"/>
        <v/>
      </c>
      <c r="AQ14" s="43"/>
      <c r="AR14" s="43"/>
      <c r="AS14" s="43"/>
      <c r="AT14" s="43" t="str">
        <f t="shared" si="8"/>
        <v/>
      </c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>
        <f t="shared" si="9"/>
        <v>0</v>
      </c>
    </row>
    <row r="15" spans="1:60" s="6" customFormat="1" x14ac:dyDescent="0.25">
      <c r="A15" s="43"/>
      <c r="B15" s="54"/>
      <c r="C15" s="43"/>
      <c r="D15" s="43"/>
      <c r="E15" s="43"/>
      <c r="F15" s="269"/>
      <c r="G15" s="251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 t="str">
        <f t="shared" si="0"/>
        <v/>
      </c>
      <c r="AI15" s="43" t="str">
        <f t="shared" si="1"/>
        <v/>
      </c>
      <c r="AJ15" s="43" t="str">
        <f t="shared" si="2"/>
        <v/>
      </c>
      <c r="AK15" s="43">
        <f t="shared" si="3"/>
        <v>0</v>
      </c>
      <c r="AL15" s="43" t="str">
        <f t="shared" si="4"/>
        <v/>
      </c>
      <c r="AM15" s="43" t="str">
        <f t="shared" si="5"/>
        <v/>
      </c>
      <c r="AN15" s="43"/>
      <c r="AO15" s="43" t="str">
        <f t="shared" si="6"/>
        <v/>
      </c>
      <c r="AP15" s="43" t="str">
        <f t="shared" si="7"/>
        <v/>
      </c>
      <c r="AQ15" s="43"/>
      <c r="AR15" s="43"/>
      <c r="AS15" s="43"/>
      <c r="AT15" s="43" t="str">
        <f t="shared" si="8"/>
        <v/>
      </c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>
        <f t="shared" si="9"/>
        <v>0</v>
      </c>
    </row>
    <row r="16" spans="1:60" s="6" customFormat="1" ht="12" x14ac:dyDescent="0.25">
      <c r="A16" s="43"/>
      <c r="B16" s="228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 t="str">
        <f t="shared" si="0"/>
        <v/>
      </c>
      <c r="AI16" s="43" t="str">
        <f t="shared" si="1"/>
        <v/>
      </c>
      <c r="AJ16" s="43" t="str">
        <f t="shared" si="2"/>
        <v/>
      </c>
      <c r="AK16" s="43">
        <f t="shared" si="3"/>
        <v>0</v>
      </c>
      <c r="AL16" s="43" t="str">
        <f t="shared" si="4"/>
        <v/>
      </c>
      <c r="AM16" s="43" t="str">
        <f t="shared" si="5"/>
        <v/>
      </c>
      <c r="AN16" s="43"/>
      <c r="AO16" s="43" t="str">
        <f t="shared" si="6"/>
        <v/>
      </c>
      <c r="AP16" s="43" t="str">
        <f t="shared" si="7"/>
        <v/>
      </c>
      <c r="AQ16" s="43"/>
      <c r="AR16" s="43"/>
      <c r="AS16" s="43"/>
      <c r="AT16" s="43" t="str">
        <f t="shared" si="8"/>
        <v/>
      </c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>
        <f t="shared" si="9"/>
        <v>0</v>
      </c>
    </row>
    <row r="17" spans="1:212" x14ac:dyDescent="0.25">
      <c r="A17" s="43"/>
      <c r="B17" s="201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 t="str">
        <f t="shared" si="0"/>
        <v/>
      </c>
      <c r="AI17" s="43" t="str">
        <f t="shared" si="1"/>
        <v/>
      </c>
      <c r="AJ17" s="43" t="str">
        <f t="shared" si="2"/>
        <v/>
      </c>
      <c r="AK17" s="43">
        <f t="shared" si="3"/>
        <v>0</v>
      </c>
      <c r="AL17" s="43" t="str">
        <f t="shared" si="4"/>
        <v/>
      </c>
      <c r="AM17" s="43" t="str">
        <f t="shared" si="5"/>
        <v/>
      </c>
      <c r="AN17" s="43"/>
      <c r="AO17" s="43" t="str">
        <f t="shared" si="6"/>
        <v/>
      </c>
      <c r="AP17" s="43" t="str">
        <f t="shared" si="7"/>
        <v/>
      </c>
      <c r="AQ17" s="43"/>
      <c r="AR17" s="43"/>
      <c r="AS17" s="43"/>
      <c r="AT17" s="43" t="str">
        <f t="shared" si="8"/>
        <v/>
      </c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ht="30" customHeight="1" x14ac:dyDescent="0.25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 t="str">
        <f t="shared" si="0"/>
        <v/>
      </c>
      <c r="AI18" s="43" t="str">
        <f t="shared" si="1"/>
        <v/>
      </c>
      <c r="AJ18" s="43" t="str">
        <f t="shared" si="2"/>
        <v/>
      </c>
      <c r="AK18" s="43">
        <f t="shared" si="3"/>
        <v>0</v>
      </c>
      <c r="AL18" s="43" t="str">
        <f t="shared" si="4"/>
        <v/>
      </c>
      <c r="AM18" s="43" t="str">
        <f t="shared" si="5"/>
        <v/>
      </c>
      <c r="AN18" s="43"/>
      <c r="AO18" s="43" t="str">
        <f t="shared" si="6"/>
        <v/>
      </c>
      <c r="AP18" s="43" t="str">
        <f t="shared" si="7"/>
        <v/>
      </c>
      <c r="AQ18" s="43"/>
      <c r="AR18" s="43"/>
      <c r="AS18" s="43"/>
      <c r="AT18" s="43" t="str">
        <f t="shared" si="8"/>
        <v/>
      </c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5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 t="str">
        <f t="shared" si="0"/>
        <v/>
      </c>
      <c r="AI19" s="43" t="str">
        <f t="shared" si="1"/>
        <v/>
      </c>
      <c r="AJ19" s="43" t="str">
        <f t="shared" si="2"/>
        <v/>
      </c>
      <c r="AK19" s="43">
        <f t="shared" si="3"/>
        <v>0</v>
      </c>
      <c r="AL19" s="43" t="str">
        <f t="shared" si="4"/>
        <v/>
      </c>
      <c r="AM19" s="43" t="str">
        <f t="shared" si="5"/>
        <v/>
      </c>
      <c r="AN19" s="43"/>
      <c r="AO19" s="43" t="str">
        <f t="shared" si="6"/>
        <v/>
      </c>
      <c r="AP19" s="43" t="str">
        <f t="shared" si="7"/>
        <v/>
      </c>
      <c r="AQ19" s="43"/>
      <c r="AR19" s="43"/>
      <c r="AS19" s="43"/>
      <c r="AT19" s="43" t="str">
        <f t="shared" si="8"/>
        <v/>
      </c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5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 t="str">
        <f t="shared" si="0"/>
        <v/>
      </c>
      <c r="AI20" s="43" t="str">
        <f t="shared" si="1"/>
        <v/>
      </c>
      <c r="AJ20" s="43" t="str">
        <f t="shared" si="2"/>
        <v/>
      </c>
      <c r="AK20" s="43">
        <f t="shared" si="3"/>
        <v>0</v>
      </c>
      <c r="AL20" s="43" t="str">
        <f t="shared" si="4"/>
        <v/>
      </c>
      <c r="AM20" s="43" t="str">
        <f t="shared" si="5"/>
        <v/>
      </c>
      <c r="AN20" s="43"/>
      <c r="AO20" s="43" t="str">
        <f t="shared" si="6"/>
        <v/>
      </c>
      <c r="AP20" s="43" t="str">
        <f t="shared" si="7"/>
        <v/>
      </c>
      <c r="AQ20" s="43"/>
      <c r="AR20" s="43"/>
      <c r="AS20" s="43"/>
      <c r="AT20" s="43" t="str">
        <f t="shared" si="8"/>
        <v/>
      </c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>
        <f t="shared" si="9"/>
        <v>0</v>
      </c>
    </row>
    <row r="21" spans="1:212" s="6" customFormat="1" ht="12" x14ac:dyDescent="0.25">
      <c r="A21" s="43"/>
      <c r="B21" s="201"/>
      <c r="C21" s="43"/>
      <c r="D21" s="43"/>
      <c r="E21" s="43"/>
      <c r="F21" s="269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 t="str">
        <f t="shared" si="0"/>
        <v/>
      </c>
      <c r="AI21" s="43" t="str">
        <f t="shared" si="1"/>
        <v/>
      </c>
      <c r="AJ21" s="43" t="str">
        <f t="shared" si="2"/>
        <v/>
      </c>
      <c r="AK21" s="43">
        <f t="shared" si="3"/>
        <v>0</v>
      </c>
      <c r="AL21" s="43" t="str">
        <f t="shared" si="4"/>
        <v/>
      </c>
      <c r="AM21" s="43" t="str">
        <f t="shared" si="5"/>
        <v/>
      </c>
      <c r="AN21" s="43"/>
      <c r="AO21" s="43" t="str">
        <f t="shared" si="6"/>
        <v/>
      </c>
      <c r="AP21" s="43" t="str">
        <f t="shared" si="7"/>
        <v/>
      </c>
      <c r="AQ21" s="43"/>
      <c r="AR21" s="43"/>
      <c r="AS21" s="43"/>
      <c r="AT21" s="43" t="str">
        <f t="shared" si="8"/>
        <v/>
      </c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>
        <f t="shared" si="9"/>
        <v>0</v>
      </c>
      <c r="BH21" s="132"/>
      <c r="BI21" s="132"/>
      <c r="BJ21" s="132"/>
      <c r="BK21" s="19"/>
      <c r="BL21" s="19"/>
      <c r="BM21" s="19"/>
      <c r="BN21" s="19"/>
      <c r="BO21" s="288">
        <f>BF21-SUM(BH21:BN21)</f>
        <v>0</v>
      </c>
      <c r="BP21" s="19"/>
    </row>
    <row r="22" spans="1:212" s="6" customFormat="1" ht="12" x14ac:dyDescent="0.25">
      <c r="A22" s="43"/>
      <c r="B22" s="201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 t="str">
        <f t="shared" si="0"/>
        <v/>
      </c>
      <c r="AI22" s="43" t="str">
        <f t="shared" si="1"/>
        <v/>
      </c>
      <c r="AJ22" s="43" t="str">
        <f t="shared" si="2"/>
        <v/>
      </c>
      <c r="AK22" s="43">
        <f t="shared" si="3"/>
        <v>0</v>
      </c>
      <c r="AL22" s="43" t="str">
        <f t="shared" si="4"/>
        <v/>
      </c>
      <c r="AM22" s="43" t="str">
        <f t="shared" si="5"/>
        <v/>
      </c>
      <c r="AN22" s="43"/>
      <c r="AO22" s="43" t="str">
        <f t="shared" si="6"/>
        <v/>
      </c>
      <c r="AP22" s="43" t="str">
        <f t="shared" si="7"/>
        <v/>
      </c>
      <c r="AQ22" s="43"/>
      <c r="AR22" s="43"/>
      <c r="AS22" s="43"/>
      <c r="AT22" s="43" t="str">
        <f t="shared" si="8"/>
        <v/>
      </c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>
        <f t="shared" si="9"/>
        <v>0</v>
      </c>
    </row>
    <row r="23" spans="1:212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 t="str">
        <f t="shared" si="0"/>
        <v/>
      </c>
      <c r="AI23" s="43" t="str">
        <f t="shared" si="1"/>
        <v/>
      </c>
      <c r="AJ23" s="43" t="str">
        <f t="shared" si="2"/>
        <v/>
      </c>
      <c r="AK23" s="43">
        <f t="shared" si="3"/>
        <v>0</v>
      </c>
      <c r="AL23" s="43" t="str">
        <f t="shared" si="4"/>
        <v/>
      </c>
      <c r="AM23" s="43" t="str">
        <f t="shared" si="5"/>
        <v/>
      </c>
      <c r="AN23" s="43"/>
      <c r="AO23" s="43" t="str">
        <f t="shared" si="6"/>
        <v/>
      </c>
      <c r="AP23" s="43" t="str">
        <f t="shared" si="7"/>
        <v/>
      </c>
      <c r="AQ23" s="43"/>
      <c r="AR23" s="43"/>
      <c r="AS23" s="43"/>
      <c r="AT23" s="43" t="str">
        <f t="shared" si="8"/>
        <v/>
      </c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>
        <f t="shared" si="9"/>
        <v>0</v>
      </c>
    </row>
    <row r="24" spans="1:212" x14ac:dyDescent="0.25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 t="str">
        <f t="shared" si="0"/>
        <v/>
      </c>
      <c r="AI24" s="43" t="str">
        <f t="shared" si="1"/>
        <v/>
      </c>
      <c r="AJ24" s="43" t="str">
        <f t="shared" si="2"/>
        <v/>
      </c>
      <c r="AK24" s="43">
        <f t="shared" si="3"/>
        <v>0</v>
      </c>
      <c r="AL24" s="43" t="str">
        <f t="shared" si="4"/>
        <v/>
      </c>
      <c r="AM24" s="43" t="str">
        <f t="shared" si="5"/>
        <v/>
      </c>
      <c r="AN24" s="43"/>
      <c r="AO24" s="43" t="str">
        <f t="shared" si="6"/>
        <v/>
      </c>
      <c r="AP24" s="43" t="str">
        <f t="shared" si="7"/>
        <v/>
      </c>
      <c r="AQ24" s="43"/>
      <c r="AR24" s="43"/>
      <c r="AS24" s="43"/>
      <c r="AT24" s="43" t="str">
        <f t="shared" si="8"/>
        <v/>
      </c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>
        <f t="shared" si="9"/>
        <v>0</v>
      </c>
    </row>
    <row r="25" spans="1:212" s="6" customFormat="1" ht="12" x14ac:dyDescent="0.25">
      <c r="A25" s="43"/>
      <c r="B25" s="201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 t="str">
        <f t="shared" si="0"/>
        <v/>
      </c>
      <c r="AI25" s="43" t="str">
        <f t="shared" si="1"/>
        <v/>
      </c>
      <c r="AJ25" s="43" t="str">
        <f t="shared" si="2"/>
        <v/>
      </c>
      <c r="AK25" s="43">
        <f t="shared" si="3"/>
        <v>0</v>
      </c>
      <c r="AL25" s="43" t="str">
        <f t="shared" si="4"/>
        <v/>
      </c>
      <c r="AM25" s="43" t="str">
        <f t="shared" si="5"/>
        <v/>
      </c>
      <c r="AN25" s="43"/>
      <c r="AO25" s="43" t="str">
        <f t="shared" si="6"/>
        <v/>
      </c>
      <c r="AP25" s="43" t="str">
        <f t="shared" si="7"/>
        <v/>
      </c>
      <c r="AQ25" s="43"/>
      <c r="AR25" s="43"/>
      <c r="AS25" s="43"/>
      <c r="AT25" s="43" t="str">
        <f t="shared" si="8"/>
        <v/>
      </c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>
        <f t="shared" si="9"/>
        <v>0</v>
      </c>
    </row>
    <row r="26" spans="1:212" x14ac:dyDescent="0.25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 t="str">
        <f t="shared" si="0"/>
        <v/>
      </c>
      <c r="AI26" s="43" t="str">
        <f t="shared" si="1"/>
        <v/>
      </c>
      <c r="AJ26" s="43" t="str">
        <f t="shared" si="2"/>
        <v/>
      </c>
      <c r="AK26" s="43">
        <f t="shared" si="3"/>
        <v>0</v>
      </c>
      <c r="AL26" s="43" t="str">
        <f t="shared" si="4"/>
        <v/>
      </c>
      <c r="AM26" s="43" t="str">
        <f t="shared" si="5"/>
        <v/>
      </c>
      <c r="AN26" s="43"/>
      <c r="AO26" s="43" t="str">
        <f t="shared" si="6"/>
        <v/>
      </c>
      <c r="AP26" s="43" t="str">
        <f t="shared" si="7"/>
        <v/>
      </c>
      <c r="AQ26" s="43"/>
      <c r="AR26" s="43"/>
      <c r="AS26" s="43"/>
      <c r="AT26" s="43" t="str">
        <f t="shared" si="8"/>
        <v/>
      </c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>
        <f t="shared" si="9"/>
        <v>0</v>
      </c>
    </row>
    <row r="27" spans="1:212" s="6" customFormat="1" ht="12" x14ac:dyDescent="0.25">
      <c r="A27" s="43"/>
      <c r="B27" s="201"/>
      <c r="C27" s="43"/>
      <c r="D27" s="43"/>
      <c r="E27" s="43"/>
      <c r="F27" s="224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 t="str">
        <f t="shared" si="0"/>
        <v/>
      </c>
      <c r="AI27" s="43" t="str">
        <f t="shared" si="1"/>
        <v/>
      </c>
      <c r="AJ27" s="43" t="str">
        <f t="shared" si="2"/>
        <v/>
      </c>
      <c r="AK27" s="43">
        <f t="shared" si="3"/>
        <v>0</v>
      </c>
      <c r="AL27" s="43" t="str">
        <f t="shared" si="4"/>
        <v/>
      </c>
      <c r="AM27" s="43" t="str">
        <f t="shared" si="5"/>
        <v/>
      </c>
      <c r="AN27" s="43"/>
      <c r="AO27" s="43" t="str">
        <f t="shared" si="6"/>
        <v/>
      </c>
      <c r="AP27" s="43" t="str">
        <f t="shared" si="7"/>
        <v/>
      </c>
      <c r="AQ27" s="43"/>
      <c r="AR27" s="43"/>
      <c r="AS27" s="43"/>
      <c r="AT27" s="43" t="str">
        <f t="shared" si="8"/>
        <v/>
      </c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>
        <f t="shared" si="9"/>
        <v>0</v>
      </c>
    </row>
    <row r="28" spans="1:212" s="6" customFormat="1" ht="12" x14ac:dyDescent="0.25">
      <c r="A28" s="43"/>
      <c r="B28" s="54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 t="str">
        <f t="shared" si="0"/>
        <v/>
      </c>
      <c r="AI28" s="43" t="str">
        <f t="shared" si="1"/>
        <v/>
      </c>
      <c r="AJ28" s="43" t="str">
        <f t="shared" si="2"/>
        <v/>
      </c>
      <c r="AK28" s="43">
        <f t="shared" si="3"/>
        <v>0</v>
      </c>
      <c r="AL28" s="43" t="str">
        <f t="shared" si="4"/>
        <v/>
      </c>
      <c r="AM28" s="43" t="str">
        <f t="shared" si="5"/>
        <v/>
      </c>
      <c r="AN28" s="43"/>
      <c r="AO28" s="43" t="str">
        <f t="shared" si="6"/>
        <v/>
      </c>
      <c r="AP28" s="43" t="str">
        <f t="shared" si="7"/>
        <v/>
      </c>
      <c r="AQ28" s="43"/>
      <c r="AR28" s="43"/>
      <c r="AS28" s="43"/>
      <c r="AT28" s="43" t="str">
        <f t="shared" si="8"/>
        <v/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>
        <f t="shared" si="9"/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5" priority="1" stopIfTrue="1">
      <formula>$FE$682&gt;0</formula>
    </cfRule>
    <cfRule type="expression" dxfId="4" priority="2" stopIfTrue="1">
      <formula>$FF$682&gt;0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HD28"/>
  <sheetViews>
    <sheetView topLeftCell="C1" zoomScale="55" zoomScaleNormal="55" workbookViewId="0">
      <selection activeCell="BH5" sqref="BH5"/>
    </sheetView>
  </sheetViews>
  <sheetFormatPr defaultRowHeight="13.2" x14ac:dyDescent="0.25"/>
  <cols>
    <col min="1" max="1" width="3.33203125" customWidth="1"/>
    <col min="2" max="2" width="44.33203125" customWidth="1"/>
    <col min="3" max="3" width="12.109375" bestFit="1" customWidth="1"/>
    <col min="4" max="4" width="4.6640625" bestFit="1" customWidth="1"/>
    <col min="5" max="5" width="2.33203125" customWidth="1"/>
    <col min="6" max="6" width="3.44140625" bestFit="1" customWidth="1"/>
    <col min="7" max="7" width="3.5546875" customWidth="1"/>
    <col min="8" max="8" width="2.88671875" customWidth="1"/>
    <col min="9" max="9" width="2.33203125" customWidth="1"/>
    <col min="10" max="10" width="4.44140625" customWidth="1"/>
    <col min="11" max="13" width="2.5546875" customWidth="1"/>
    <col min="14" max="14" width="2.33203125" customWidth="1"/>
    <col min="15" max="15" width="2.5546875" customWidth="1"/>
    <col min="16" max="16" width="2.88671875" bestFit="1" customWidth="1"/>
    <col min="17" max="17" width="2.5546875" customWidth="1"/>
    <col min="18" max="18" width="2.33203125" customWidth="1"/>
    <col min="19" max="22" width="2.5546875" customWidth="1"/>
    <col min="23" max="23" width="2.33203125" customWidth="1"/>
    <col min="24" max="33" width="2.5546875" customWidth="1"/>
    <col min="34" max="34" width="3.88671875" customWidth="1"/>
    <col min="35" max="35" width="3.5546875" customWidth="1"/>
    <col min="36" max="36" width="3.33203125" customWidth="1"/>
    <col min="37" max="37" width="4.33203125" customWidth="1"/>
    <col min="38" max="38" width="3.5546875" customWidth="1"/>
    <col min="39" max="39" width="3.88671875" customWidth="1"/>
    <col min="40" max="40" width="3.33203125" customWidth="1"/>
    <col min="41" max="41" width="4.44140625" customWidth="1"/>
    <col min="42" max="42" width="4.33203125" customWidth="1"/>
    <col min="43" max="43" width="3.6640625" customWidth="1"/>
    <col min="44" max="44" width="2.88671875" customWidth="1"/>
    <col min="45" max="45" width="3.6640625" customWidth="1"/>
    <col min="46" max="46" width="4.88671875" bestFit="1" customWidth="1"/>
    <col min="47" max="47" width="3.44140625" customWidth="1"/>
    <col min="48" max="48" width="3.5546875" customWidth="1"/>
    <col min="49" max="49" width="3.44140625" customWidth="1"/>
    <col min="50" max="57" width="4" customWidth="1"/>
    <col min="58" max="58" width="6.44140625" customWidth="1"/>
  </cols>
  <sheetData>
    <row r="1" spans="1:60" s="25" customFormat="1" x14ac:dyDescent="0.25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4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51" customHeight="1" thickBot="1" x14ac:dyDescent="0.3">
      <c r="A3" s="318" t="s">
        <v>1</v>
      </c>
      <c r="B3" s="300" t="s">
        <v>2</v>
      </c>
      <c r="C3" s="322" t="s">
        <v>3</v>
      </c>
      <c r="D3" s="304" t="s">
        <v>77</v>
      </c>
      <c r="E3" s="304" t="s">
        <v>40</v>
      </c>
      <c r="F3" s="324" t="s">
        <v>4</v>
      </c>
      <c r="G3" s="316" t="s">
        <v>5</v>
      </c>
      <c r="H3" s="316"/>
      <c r="I3" s="316"/>
      <c r="J3" s="317"/>
      <c r="K3" s="292" t="s">
        <v>46</v>
      </c>
      <c r="L3" s="293"/>
      <c r="M3" s="293"/>
      <c r="N3" s="293"/>
      <c r="O3" s="293"/>
      <c r="P3" s="293"/>
      <c r="Q3" s="293"/>
      <c r="R3" s="293"/>
      <c r="S3" s="293"/>
      <c r="T3" s="293"/>
      <c r="U3" s="293"/>
      <c r="V3" s="293"/>
      <c r="W3" s="293"/>
      <c r="X3" s="293"/>
      <c r="Y3" s="293"/>
      <c r="Z3" s="293"/>
      <c r="AA3" s="293"/>
      <c r="AB3" s="293"/>
      <c r="AC3" s="293"/>
      <c r="AD3" s="293"/>
      <c r="AE3" s="293"/>
      <c r="AF3" s="293"/>
      <c r="AG3" s="294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4.2" x14ac:dyDescent="0.25">
      <c r="A4" s="319"/>
      <c r="B4" s="301"/>
      <c r="C4" s="323"/>
      <c r="D4" s="305"/>
      <c r="E4" s="305"/>
      <c r="F4" s="325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248</v>
      </c>
    </row>
    <row r="5" spans="1:60" x14ac:dyDescent="0.25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24.75" customHeight="1" x14ac:dyDescent="0.25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>IF(M6&lt;&gt;"",M6*H6*J6,"")</f>
        <v/>
      </c>
      <c r="AK6" s="88" t="str">
        <f xml:space="preserve"> IF(N6&lt;&gt;"", 0.05*K6+2,"")</f>
        <v/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5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8" si="0">IF(K7&lt;&gt;"",H7*K7,"")</f>
        <v/>
      </c>
      <c r="AI7" s="88" t="str">
        <f t="shared" ref="AI7:AI27" si="1">IF(L7&lt;&gt;"",H7*L7,"")</f>
        <v/>
      </c>
      <c r="AJ7" s="88" t="str">
        <f t="shared" ref="AJ7:AJ28" si="2">IF(M7&lt;&gt;"",M7*H7*J7,"")</f>
        <v/>
      </c>
      <c r="AK7" s="88" t="str">
        <f t="shared" ref="AK7:AK28" si="3" xml:space="preserve"> IF(N7&lt;&gt;"", 0.05*K7+2,"")</f>
        <v/>
      </c>
      <c r="AL7" s="88" t="str">
        <f t="shared" ref="AL7:AL28" si="4">IF(N7&lt;&gt;"",0.33*G7,"")</f>
        <v/>
      </c>
      <c r="AM7" s="88" t="str">
        <f t="shared" ref="AM7:AM28" si="5">IF(O7="+",0.25*G7,IF(O7="+Д",G7*0.33,""))</f>
        <v/>
      </c>
      <c r="AN7" s="88"/>
      <c r="AO7" s="88" t="str">
        <f t="shared" ref="AO7:AO28" si="6">IF(Q7&lt;&gt;"",2*G7,"")</f>
        <v/>
      </c>
      <c r="AP7" s="88" t="str">
        <f t="shared" ref="AP7:AP28" si="7">IF(R7&lt;&gt;"",3*H7,"")</f>
        <v/>
      </c>
      <c r="AQ7" s="88"/>
      <c r="AR7" s="88"/>
      <c r="AS7" s="88"/>
      <c r="AT7" s="88" t="str">
        <f t="shared" ref="AT7:AT28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8" si="9">SUM(AH7:BE7)</f>
        <v>0</v>
      </c>
    </row>
    <row r="8" spans="1:60" s="6" customFormat="1" ht="12" x14ac:dyDescent="0.25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0"/>
        <v/>
      </c>
      <c r="AI8" s="88" t="str">
        <f t="shared" si="1"/>
        <v/>
      </c>
      <c r="AJ8" s="88" t="str">
        <f t="shared" si="2"/>
        <v/>
      </c>
      <c r="AK8" s="88" t="str">
        <f t="shared" si="3"/>
        <v/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5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0"/>
        <v/>
      </c>
      <c r="AI9" s="88" t="str">
        <f t="shared" si="1"/>
        <v/>
      </c>
      <c r="AJ9" s="88" t="str">
        <f t="shared" si="2"/>
        <v/>
      </c>
      <c r="AK9" s="88" t="str">
        <f t="shared" si="3"/>
        <v/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2" x14ac:dyDescent="0.25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0"/>
        <v/>
      </c>
      <c r="AI10" s="88" t="str">
        <f t="shared" si="1"/>
        <v/>
      </c>
      <c r="AJ10" s="88" t="str">
        <f t="shared" si="2"/>
        <v/>
      </c>
      <c r="AK10" s="88" t="str">
        <f t="shared" si="3"/>
        <v/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5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0"/>
        <v/>
      </c>
      <c r="AI11" s="88" t="str">
        <f t="shared" si="1"/>
        <v/>
      </c>
      <c r="AJ11" s="88" t="str">
        <f t="shared" si="2"/>
        <v/>
      </c>
      <c r="AK11" s="88" t="str">
        <f t="shared" si="3"/>
        <v/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5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0"/>
        <v/>
      </c>
      <c r="AI12" s="88" t="str">
        <f t="shared" si="1"/>
        <v/>
      </c>
      <c r="AJ12" s="88" t="str">
        <f t="shared" si="2"/>
        <v/>
      </c>
      <c r="AK12" s="88" t="str">
        <f t="shared" si="3"/>
        <v/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5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0"/>
        <v/>
      </c>
      <c r="AI13" s="88" t="str">
        <f t="shared" si="1"/>
        <v/>
      </c>
      <c r="AJ13" s="88" t="str">
        <f t="shared" si="2"/>
        <v/>
      </c>
      <c r="AK13" s="88" t="str">
        <f t="shared" si="3"/>
        <v/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5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0"/>
        <v/>
      </c>
      <c r="AI14" s="88" t="str">
        <f t="shared" si="1"/>
        <v/>
      </c>
      <c r="AJ14" s="88" t="str">
        <f t="shared" si="2"/>
        <v/>
      </c>
      <c r="AK14" s="88" t="str">
        <f t="shared" si="3"/>
        <v/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x14ac:dyDescent="0.25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0"/>
        <v/>
      </c>
      <c r="AI15" s="88" t="str">
        <f t="shared" si="1"/>
        <v/>
      </c>
      <c r="AJ15" s="88" t="str">
        <f t="shared" si="2"/>
        <v/>
      </c>
      <c r="AK15" s="88" t="str">
        <f t="shared" si="3"/>
        <v/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5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0"/>
        <v/>
      </c>
      <c r="AI16" s="88" t="str">
        <f t="shared" si="1"/>
        <v/>
      </c>
      <c r="AJ16" s="88" t="str">
        <f t="shared" si="2"/>
        <v/>
      </c>
      <c r="AK16" s="88" t="str">
        <f t="shared" si="3"/>
        <v/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5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0"/>
        <v/>
      </c>
      <c r="AI17" s="88" t="str">
        <f t="shared" si="1"/>
        <v/>
      </c>
      <c r="AJ17" s="88" t="str">
        <f t="shared" si="2"/>
        <v/>
      </c>
      <c r="AK17" s="88" t="str">
        <f t="shared" si="3"/>
        <v/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5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0"/>
        <v/>
      </c>
      <c r="AI18" s="88" t="str">
        <f t="shared" si="1"/>
        <v/>
      </c>
      <c r="AJ18" s="88" t="str">
        <f t="shared" si="2"/>
        <v/>
      </c>
      <c r="AK18" s="88" t="str">
        <f t="shared" si="3"/>
        <v/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5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0"/>
        <v/>
      </c>
      <c r="AI19" s="88" t="str">
        <f t="shared" si="1"/>
        <v/>
      </c>
      <c r="AJ19" s="88" t="str">
        <f t="shared" si="2"/>
        <v/>
      </c>
      <c r="AK19" s="88" t="str">
        <f t="shared" si="3"/>
        <v/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5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0"/>
        <v/>
      </c>
      <c r="AI20" s="88" t="str">
        <f t="shared" si="1"/>
        <v/>
      </c>
      <c r="AJ20" s="88" t="str">
        <f t="shared" si="2"/>
        <v/>
      </c>
      <c r="AK20" s="88" t="str">
        <f t="shared" si="3"/>
        <v/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  <row r="21" spans="1:212" s="6" customFormat="1" ht="12" x14ac:dyDescent="0.25">
      <c r="A21" s="43"/>
      <c r="B21" s="201"/>
      <c r="C21" s="43"/>
      <c r="D21" s="43"/>
      <c r="E21" s="43"/>
      <c r="F21" s="24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 t="str">
        <f t="shared" si="0"/>
        <v/>
      </c>
      <c r="AI21" s="88" t="str">
        <f t="shared" si="1"/>
        <v/>
      </c>
      <c r="AJ21" s="88" t="str">
        <f t="shared" si="2"/>
        <v/>
      </c>
      <c r="AK21" s="88" t="str">
        <f t="shared" si="3"/>
        <v/>
      </c>
      <c r="AL21" s="88" t="str">
        <f t="shared" si="4"/>
        <v/>
      </c>
      <c r="AM21" s="88" t="str">
        <f t="shared" si="5"/>
        <v/>
      </c>
      <c r="AN21" s="88"/>
      <c r="AO21" s="88" t="str">
        <f t="shared" si="6"/>
        <v/>
      </c>
      <c r="AP21" s="88" t="str">
        <f t="shared" si="7"/>
        <v/>
      </c>
      <c r="AQ21" s="88"/>
      <c r="AR21" s="88"/>
      <c r="AS21" s="88"/>
      <c r="AT21" s="88" t="str">
        <f t="shared" si="8"/>
        <v/>
      </c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>
        <f t="shared" si="9"/>
        <v>0</v>
      </c>
      <c r="BH21" s="132"/>
      <c r="BI21" s="132"/>
      <c r="BJ21" s="132"/>
      <c r="BK21" s="19"/>
      <c r="BL21" s="19"/>
      <c r="BM21" s="19"/>
      <c r="BN21" s="19"/>
      <c r="BO21" s="91">
        <f t="array" ref="BO21">BF21-SUM(BH21:BN21)</f>
        <v>0</v>
      </c>
      <c r="BP21" s="19"/>
    </row>
    <row r="22" spans="1:212" s="6" customFormat="1" ht="12" x14ac:dyDescent="0.25">
      <c r="A22" s="43"/>
      <c r="B22" s="201"/>
      <c r="C22" s="43"/>
      <c r="D22" s="43"/>
      <c r="E22" s="43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 t="str">
        <f t="shared" si="0"/>
        <v/>
      </c>
      <c r="AI22" s="88" t="str">
        <f t="shared" si="1"/>
        <v/>
      </c>
      <c r="AJ22" s="88" t="str">
        <f t="shared" si="2"/>
        <v/>
      </c>
      <c r="AK22" s="88" t="str">
        <f t="shared" si="3"/>
        <v/>
      </c>
      <c r="AL22" s="88" t="str">
        <f t="shared" si="4"/>
        <v/>
      </c>
      <c r="AM22" s="88" t="str">
        <f t="shared" si="5"/>
        <v/>
      </c>
      <c r="AN22" s="88"/>
      <c r="AO22" s="88" t="str">
        <f t="shared" si="6"/>
        <v/>
      </c>
      <c r="AP22" s="88" t="str">
        <f t="shared" si="7"/>
        <v/>
      </c>
      <c r="AQ22" s="88"/>
      <c r="AR22" s="88"/>
      <c r="AS22" s="88"/>
      <c r="AT22" s="88" t="str">
        <f t="shared" si="8"/>
        <v/>
      </c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>
        <f t="shared" si="9"/>
        <v>0</v>
      </c>
    </row>
    <row r="23" spans="1:212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88" t="str">
        <f t="shared" si="0"/>
        <v/>
      </c>
      <c r="AI23" s="88" t="str">
        <f t="shared" si="1"/>
        <v/>
      </c>
      <c r="AJ23" s="88" t="str">
        <f t="shared" si="2"/>
        <v/>
      </c>
      <c r="AK23" s="88" t="str">
        <f t="shared" si="3"/>
        <v/>
      </c>
      <c r="AL23" s="88" t="str">
        <f t="shared" si="4"/>
        <v/>
      </c>
      <c r="AM23" s="88" t="str">
        <f t="shared" si="5"/>
        <v/>
      </c>
      <c r="AN23" s="88"/>
      <c r="AO23" s="88" t="str">
        <f t="shared" si="6"/>
        <v/>
      </c>
      <c r="AP23" s="88" t="str">
        <f t="shared" si="7"/>
        <v/>
      </c>
      <c r="AQ23" s="88"/>
      <c r="AR23" s="88"/>
      <c r="AS23" s="88"/>
      <c r="AT23" s="88" t="str">
        <f t="shared" si="8"/>
        <v/>
      </c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>
        <f t="shared" si="9"/>
        <v>0</v>
      </c>
    </row>
    <row r="24" spans="1:212" x14ac:dyDescent="0.25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88" t="str">
        <f t="shared" si="0"/>
        <v/>
      </c>
      <c r="AI24" s="88" t="str">
        <f t="shared" si="1"/>
        <v/>
      </c>
      <c r="AJ24" s="88" t="str">
        <f t="shared" si="2"/>
        <v/>
      </c>
      <c r="AK24" s="88" t="str">
        <f t="shared" si="3"/>
        <v/>
      </c>
      <c r="AL24" s="88" t="str">
        <f t="shared" si="4"/>
        <v/>
      </c>
      <c r="AM24" s="88" t="str">
        <f t="shared" si="5"/>
        <v/>
      </c>
      <c r="AN24" s="88"/>
      <c r="AO24" s="88" t="str">
        <f t="shared" si="6"/>
        <v/>
      </c>
      <c r="AP24" s="88" t="str">
        <f t="shared" si="7"/>
        <v/>
      </c>
      <c r="AQ24" s="88"/>
      <c r="AR24" s="88"/>
      <c r="AS24" s="88"/>
      <c r="AT24" s="88" t="str">
        <f t="shared" si="8"/>
        <v/>
      </c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>
        <f t="shared" si="9"/>
        <v>0</v>
      </c>
    </row>
    <row r="25" spans="1:212" s="6" customFormat="1" ht="12" x14ac:dyDescent="0.25">
      <c r="A25" s="43"/>
      <c r="B25" s="201"/>
      <c r="C25" s="43"/>
      <c r="D25" s="43"/>
      <c r="E25" s="43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 t="str">
        <f t="shared" si="0"/>
        <v/>
      </c>
      <c r="AI25" s="88" t="str">
        <f t="shared" si="1"/>
        <v/>
      </c>
      <c r="AJ25" s="88" t="str">
        <f t="shared" si="2"/>
        <v/>
      </c>
      <c r="AK25" s="88" t="str">
        <f t="shared" si="3"/>
        <v/>
      </c>
      <c r="AL25" s="88" t="str">
        <f t="shared" si="4"/>
        <v/>
      </c>
      <c r="AM25" s="88" t="str">
        <f t="shared" si="5"/>
        <v/>
      </c>
      <c r="AN25" s="88"/>
      <c r="AO25" s="88" t="str">
        <f t="shared" si="6"/>
        <v/>
      </c>
      <c r="AP25" s="88" t="str">
        <f t="shared" si="7"/>
        <v/>
      </c>
      <c r="AQ25" s="88"/>
      <c r="AR25" s="88"/>
      <c r="AS25" s="88"/>
      <c r="AT25" s="88" t="str">
        <f t="shared" si="8"/>
        <v/>
      </c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>
        <f t="shared" si="9"/>
        <v>0</v>
      </c>
    </row>
    <row r="26" spans="1:212" x14ac:dyDescent="0.25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88" t="str">
        <f t="shared" si="0"/>
        <v/>
      </c>
      <c r="AI26" s="88" t="str">
        <f t="shared" si="1"/>
        <v/>
      </c>
      <c r="AJ26" s="88" t="str">
        <f t="shared" si="2"/>
        <v/>
      </c>
      <c r="AK26" s="88" t="str">
        <f t="shared" si="3"/>
        <v/>
      </c>
      <c r="AL26" s="88" t="str">
        <f t="shared" si="4"/>
        <v/>
      </c>
      <c r="AM26" s="88" t="str">
        <f t="shared" si="5"/>
        <v/>
      </c>
      <c r="AN26" s="88"/>
      <c r="AO26" s="88" t="str">
        <f t="shared" si="6"/>
        <v/>
      </c>
      <c r="AP26" s="88" t="str">
        <f t="shared" si="7"/>
        <v/>
      </c>
      <c r="AQ26" s="88"/>
      <c r="AR26" s="88"/>
      <c r="AS26" s="88"/>
      <c r="AT26" s="88" t="str">
        <f t="shared" si="8"/>
        <v/>
      </c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>
        <f t="shared" si="9"/>
        <v>0</v>
      </c>
    </row>
    <row r="27" spans="1:212" s="6" customFormat="1" ht="12" x14ac:dyDescent="0.25">
      <c r="A27" s="43"/>
      <c r="B27" s="201"/>
      <c r="C27" s="43"/>
      <c r="D27" s="43"/>
      <c r="E27" s="43"/>
      <c r="F27" s="247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 t="str">
        <f t="shared" si="0"/>
        <v/>
      </c>
      <c r="AI27" s="88" t="str">
        <f t="shared" si="1"/>
        <v/>
      </c>
      <c r="AJ27" s="88" t="str">
        <f t="shared" si="2"/>
        <v/>
      </c>
      <c r="AK27" s="88" t="str">
        <f t="shared" si="3"/>
        <v/>
      </c>
      <c r="AL27" s="88" t="str">
        <f t="shared" si="4"/>
        <v/>
      </c>
      <c r="AM27" s="88" t="str">
        <f t="shared" si="5"/>
        <v/>
      </c>
      <c r="AN27" s="88"/>
      <c r="AO27" s="88" t="str">
        <f t="shared" si="6"/>
        <v/>
      </c>
      <c r="AP27" s="88" t="str">
        <f t="shared" si="7"/>
        <v/>
      </c>
      <c r="AQ27" s="88"/>
      <c r="AR27" s="88"/>
      <c r="AS27" s="88"/>
      <c r="AT27" s="88" t="str">
        <f t="shared" si="8"/>
        <v/>
      </c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>
        <f t="shared" si="9"/>
        <v>0</v>
      </c>
    </row>
    <row r="28" spans="1:212" s="6" customFormat="1" ht="12" x14ac:dyDescent="0.25">
      <c r="A28" s="43"/>
      <c r="B28" s="54"/>
      <c r="C28" s="43"/>
      <c r="D28" s="43"/>
      <c r="E28" s="43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 t="str">
        <f t="shared" si="0"/>
        <v/>
      </c>
      <c r="AI28" s="88" t="str">
        <f>IF(L28&lt;&gt;"",H28*L28,"")</f>
        <v/>
      </c>
      <c r="AJ28" s="88" t="str">
        <f t="shared" si="2"/>
        <v/>
      </c>
      <c r="AK28" s="88" t="str">
        <f t="shared" si="3"/>
        <v/>
      </c>
      <c r="AL28" s="88" t="str">
        <f t="shared" si="4"/>
        <v/>
      </c>
      <c r="AM28" s="88" t="str">
        <f t="shared" si="5"/>
        <v/>
      </c>
      <c r="AN28" s="88"/>
      <c r="AO28" s="88" t="str">
        <f t="shared" si="6"/>
        <v/>
      </c>
      <c r="AP28" s="88" t="str">
        <f t="shared" si="7"/>
        <v/>
      </c>
      <c r="AQ28" s="88"/>
      <c r="AR28" s="88"/>
      <c r="AS28" s="88"/>
      <c r="AT28" s="88" t="str">
        <f t="shared" si="8"/>
        <v/>
      </c>
      <c r="AU28" s="88"/>
      <c r="AV28" s="88"/>
      <c r="AW28" s="88"/>
      <c r="AX28" s="88"/>
      <c r="AY28" s="88"/>
      <c r="AZ28" s="88"/>
      <c r="BA28" s="88"/>
      <c r="BB28" s="88"/>
      <c r="BC28" s="88"/>
      <c r="BD28" s="88"/>
      <c r="BE28" s="88"/>
      <c r="BF28" s="88">
        <f t="shared" si="9"/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conditionalFormatting sqref="B28">
    <cfRule type="expression" dxfId="3" priority="1" stopIfTrue="1">
      <formula>$FE$683&gt;0</formula>
    </cfRule>
    <cfRule type="expression" dxfId="2" priority="2" stopIfTrue="1">
      <formula>$FF$683&gt;0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HD19"/>
  <sheetViews>
    <sheetView zoomScale="40" zoomScaleNormal="40" workbookViewId="0">
      <selection activeCell="BF3" sqref="BF3"/>
    </sheetView>
  </sheetViews>
  <sheetFormatPr defaultRowHeight="13.2" x14ac:dyDescent="0.25"/>
  <cols>
    <col min="1" max="1" width="3.33203125" customWidth="1"/>
    <col min="2" max="2" width="44.33203125" customWidth="1"/>
    <col min="3" max="3" width="12.109375" bestFit="1" customWidth="1"/>
    <col min="4" max="4" width="4.6640625" bestFit="1" customWidth="1"/>
    <col min="5" max="5" width="2.33203125" customWidth="1"/>
    <col min="6" max="6" width="3.44140625" bestFit="1" customWidth="1"/>
    <col min="7" max="7" width="3.5546875" customWidth="1"/>
    <col min="8" max="8" width="2.88671875" customWidth="1"/>
    <col min="9" max="9" width="2.33203125" customWidth="1"/>
    <col min="10" max="10" width="4.44140625" customWidth="1"/>
    <col min="11" max="13" width="2.5546875" customWidth="1"/>
    <col min="14" max="14" width="2.33203125" customWidth="1"/>
    <col min="15" max="15" width="2.5546875" customWidth="1"/>
    <col min="16" max="16" width="2.88671875" bestFit="1" customWidth="1"/>
    <col min="17" max="17" width="2.5546875" customWidth="1"/>
    <col min="18" max="18" width="2.33203125" customWidth="1"/>
    <col min="19" max="22" width="2.5546875" customWidth="1"/>
    <col min="23" max="23" width="2.33203125" customWidth="1"/>
    <col min="24" max="33" width="2.5546875" customWidth="1"/>
    <col min="34" max="34" width="3.88671875" customWidth="1"/>
    <col min="35" max="35" width="3.5546875" customWidth="1"/>
    <col min="36" max="36" width="3.33203125" customWidth="1"/>
    <col min="37" max="37" width="4.33203125" customWidth="1"/>
    <col min="38" max="38" width="3.5546875" customWidth="1"/>
    <col min="39" max="39" width="3.88671875" customWidth="1"/>
    <col min="40" max="40" width="3.33203125" customWidth="1"/>
    <col min="41" max="41" width="4.44140625" customWidth="1"/>
    <col min="42" max="42" width="4.33203125" customWidth="1"/>
    <col min="43" max="43" width="3.6640625" customWidth="1"/>
    <col min="44" max="44" width="2.88671875" customWidth="1"/>
    <col min="45" max="45" width="3.6640625" customWidth="1"/>
    <col min="46" max="46" width="4.88671875" bestFit="1" customWidth="1"/>
    <col min="47" max="47" width="3.44140625" customWidth="1"/>
    <col min="48" max="48" width="3.5546875" customWidth="1"/>
    <col min="49" max="49" width="3.44140625" customWidth="1"/>
    <col min="50" max="57" width="4" customWidth="1"/>
    <col min="58" max="58" width="6.44140625" customWidth="1"/>
  </cols>
  <sheetData>
    <row r="1" spans="1:60" s="25" customFormat="1" x14ac:dyDescent="0.25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4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51" customHeight="1" thickBot="1" x14ac:dyDescent="0.3">
      <c r="A3" s="318" t="s">
        <v>1</v>
      </c>
      <c r="B3" s="300" t="s">
        <v>2</v>
      </c>
      <c r="C3" s="322" t="s">
        <v>3</v>
      </c>
      <c r="D3" s="304" t="s">
        <v>77</v>
      </c>
      <c r="E3" s="304" t="s">
        <v>40</v>
      </c>
      <c r="F3" s="324" t="s">
        <v>4</v>
      </c>
      <c r="G3" s="316" t="s">
        <v>5</v>
      </c>
      <c r="H3" s="316"/>
      <c r="I3" s="316"/>
      <c r="J3" s="317"/>
      <c r="K3" s="292" t="s">
        <v>46</v>
      </c>
      <c r="L3" s="293"/>
      <c r="M3" s="293"/>
      <c r="N3" s="293"/>
      <c r="O3" s="293"/>
      <c r="P3" s="293"/>
      <c r="Q3" s="293"/>
      <c r="R3" s="293"/>
      <c r="S3" s="293"/>
      <c r="T3" s="293"/>
      <c r="U3" s="293"/>
      <c r="V3" s="293"/>
      <c r="W3" s="293"/>
      <c r="X3" s="293"/>
      <c r="Y3" s="293"/>
      <c r="Z3" s="293"/>
      <c r="AA3" s="293"/>
      <c r="AB3" s="293"/>
      <c r="AC3" s="293"/>
      <c r="AD3" s="293"/>
      <c r="AE3" s="293"/>
      <c r="AF3" s="293"/>
      <c r="AG3" s="294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5.4" x14ac:dyDescent="0.25">
      <c r="A4" s="319"/>
      <c r="B4" s="301"/>
      <c r="C4" s="323"/>
      <c r="D4" s="305"/>
      <c r="E4" s="305"/>
      <c r="F4" s="325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249</v>
      </c>
    </row>
    <row r="5" spans="1:60" x14ac:dyDescent="0.25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SUM(BF6:BF19)</f>
        <v>0</v>
      </c>
      <c r="BG5">
        <v>0.22222222222222221</v>
      </c>
      <c r="BH5">
        <v>1050</v>
      </c>
    </row>
    <row r="6" spans="1:60" s="6" customFormat="1" ht="12" x14ac:dyDescent="0.25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 t="shared" ref="AJ6:AJ19" si="0">IF(M6&lt;&gt;"",M6*H6,"")</f>
        <v/>
      </c>
      <c r="AK6" s="88" t="str">
        <f xml:space="preserve"> IF(N6&lt;&gt;"", 0.05*K6+2,"")</f>
        <v/>
      </c>
      <c r="AL6" s="88" t="str">
        <f>IF(N6&lt;&gt;"",0.33*G6,"")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5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19" si="1">IF(K7&lt;&gt;"",H7*K7,"")</f>
        <v/>
      </c>
      <c r="AI7" s="88" t="str">
        <f t="shared" ref="AI7:AI19" si="2">IF(L7&lt;&gt;"",H7*L7,"")</f>
        <v/>
      </c>
      <c r="AJ7" s="88" t="str">
        <f t="shared" si="0"/>
        <v/>
      </c>
      <c r="AK7" s="88" t="str">
        <f t="shared" ref="AK7:AK19" si="3" xml:space="preserve"> IF(N7&lt;&gt;"", 0.05*K7+2,"")</f>
        <v/>
      </c>
      <c r="AL7" s="88" t="str">
        <f t="shared" ref="AL7:AL19" si="4">IF(N7&lt;&gt;"",0.33*G7,"")</f>
        <v/>
      </c>
      <c r="AM7" s="88" t="str">
        <f t="shared" ref="AM7:AM19" si="5">IF(O7="+",0.25*G7,IF(O7="+Д",G7*0.33,""))</f>
        <v/>
      </c>
      <c r="AN7" s="88"/>
      <c r="AO7" s="88" t="str">
        <f t="shared" ref="AO7:AO19" si="6">IF(Q7&lt;&gt;"",2*G7,"")</f>
        <v/>
      </c>
      <c r="AP7" s="88" t="str">
        <f t="shared" ref="AP7:AP19" si="7">IF(R7&lt;&gt;"",3*H7,"")</f>
        <v/>
      </c>
      <c r="AQ7" s="88"/>
      <c r="AR7" s="88"/>
      <c r="AS7" s="88"/>
      <c r="AT7" s="88" t="str">
        <f t="shared" ref="AT7:AT19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19" si="9">SUM(AH7:BE7)</f>
        <v>0</v>
      </c>
    </row>
    <row r="8" spans="1:60" s="6" customFormat="1" ht="12" x14ac:dyDescent="0.25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1"/>
        <v/>
      </c>
      <c r="AI8" s="88" t="str">
        <f t="shared" si="2"/>
        <v/>
      </c>
      <c r="AJ8" s="88" t="str">
        <f t="shared" si="0"/>
        <v/>
      </c>
      <c r="AK8" s="88" t="str">
        <f t="shared" si="3"/>
        <v/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5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1"/>
        <v/>
      </c>
      <c r="AI9" s="88" t="str">
        <f t="shared" si="2"/>
        <v/>
      </c>
      <c r="AJ9" s="88" t="str">
        <f t="shared" si="0"/>
        <v/>
      </c>
      <c r="AK9" s="88" t="str">
        <f t="shared" si="3"/>
        <v/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2" x14ac:dyDescent="0.25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1"/>
        <v/>
      </c>
      <c r="AI10" s="88" t="str">
        <f t="shared" si="2"/>
        <v/>
      </c>
      <c r="AJ10" s="88" t="str">
        <f t="shared" si="0"/>
        <v/>
      </c>
      <c r="AK10" s="88" t="str">
        <f t="shared" si="3"/>
        <v/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5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1"/>
        <v/>
      </c>
      <c r="AI11" s="88" t="str">
        <f t="shared" si="2"/>
        <v/>
      </c>
      <c r="AJ11" s="88" t="str">
        <f t="shared" si="0"/>
        <v/>
      </c>
      <c r="AK11" s="88" t="str">
        <f t="shared" si="3"/>
        <v/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5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1"/>
        <v/>
      </c>
      <c r="AI12" s="88" t="str">
        <f t="shared" si="2"/>
        <v/>
      </c>
      <c r="AJ12" s="88" t="str">
        <f t="shared" si="0"/>
        <v/>
      </c>
      <c r="AK12" s="88" t="str">
        <f t="shared" si="3"/>
        <v/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5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1"/>
        <v/>
      </c>
      <c r="AI13" s="88" t="str">
        <f t="shared" si="2"/>
        <v/>
      </c>
      <c r="AJ13" s="88" t="str">
        <f t="shared" si="0"/>
        <v/>
      </c>
      <c r="AK13" s="88" t="str">
        <f t="shared" si="3"/>
        <v/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5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1"/>
        <v/>
      </c>
      <c r="AI14" s="88" t="str">
        <f t="shared" si="2"/>
        <v/>
      </c>
      <c r="AJ14" s="88" t="str">
        <f t="shared" si="0"/>
        <v/>
      </c>
      <c r="AK14" s="88" t="str">
        <f t="shared" si="3"/>
        <v/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x14ac:dyDescent="0.25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1"/>
        <v/>
      </c>
      <c r="AI15" s="88" t="str">
        <f t="shared" si="2"/>
        <v/>
      </c>
      <c r="AJ15" s="88" t="str">
        <f t="shared" si="0"/>
        <v/>
      </c>
      <c r="AK15" s="88" t="str">
        <f t="shared" si="3"/>
        <v/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5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1"/>
        <v/>
      </c>
      <c r="AI16" s="88" t="str">
        <f t="shared" si="2"/>
        <v/>
      </c>
      <c r="AJ16" s="88" t="str">
        <f t="shared" si="0"/>
        <v/>
      </c>
      <c r="AK16" s="88" t="str">
        <f t="shared" si="3"/>
        <v/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5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1"/>
        <v/>
      </c>
      <c r="AI17" s="88" t="str">
        <f t="shared" si="2"/>
        <v/>
      </c>
      <c r="AJ17" s="88" t="str">
        <f t="shared" si="0"/>
        <v/>
      </c>
      <c r="AK17" s="88" t="str">
        <f t="shared" si="3"/>
        <v/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5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1"/>
        <v/>
      </c>
      <c r="AI18" s="88" t="str">
        <f t="shared" si="2"/>
        <v/>
      </c>
      <c r="AJ18" s="88" t="str">
        <f t="shared" si="0"/>
        <v/>
      </c>
      <c r="AK18" s="88" t="str">
        <f t="shared" si="3"/>
        <v/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5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1"/>
        <v/>
      </c>
      <c r="AI19" s="88" t="str">
        <f t="shared" si="2"/>
        <v/>
      </c>
      <c r="AJ19" s="88" t="str">
        <f t="shared" si="0"/>
        <v/>
      </c>
      <c r="AK19" s="88" t="str">
        <f t="shared" si="3"/>
        <v/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E4444-16D0-4EA2-B1F2-276C1A9F9228}">
  <dimension ref="A1:HD28"/>
  <sheetViews>
    <sheetView tabSelected="1" zoomScale="40" zoomScaleNormal="40" workbookViewId="0">
      <selection activeCell="BP49" sqref="BP49"/>
    </sheetView>
  </sheetViews>
  <sheetFormatPr defaultRowHeight="13.2" x14ac:dyDescent="0.25"/>
  <cols>
    <col min="1" max="1" width="3.33203125" customWidth="1"/>
    <col min="2" max="2" width="44.33203125" customWidth="1"/>
    <col min="3" max="3" width="12.109375" bestFit="1" customWidth="1"/>
    <col min="4" max="4" width="4.6640625" bestFit="1" customWidth="1"/>
    <col min="5" max="5" width="2.33203125" customWidth="1"/>
    <col min="6" max="6" width="3.44140625" bestFit="1" customWidth="1"/>
    <col min="7" max="7" width="3.5546875" customWidth="1"/>
    <col min="8" max="8" width="2.88671875" customWidth="1"/>
    <col min="9" max="9" width="2.33203125" customWidth="1"/>
    <col min="10" max="10" width="4.44140625" customWidth="1"/>
    <col min="11" max="13" width="2.5546875" customWidth="1"/>
    <col min="14" max="14" width="2.33203125" customWidth="1"/>
    <col min="15" max="15" width="2.5546875" customWidth="1"/>
    <col min="16" max="16" width="2.88671875" bestFit="1" customWidth="1"/>
    <col min="17" max="17" width="2.5546875" customWidth="1"/>
    <col min="18" max="18" width="2.33203125" customWidth="1"/>
    <col min="19" max="22" width="2.5546875" customWidth="1"/>
    <col min="23" max="23" width="2.33203125" customWidth="1"/>
    <col min="24" max="33" width="2.5546875" customWidth="1"/>
    <col min="34" max="34" width="3.88671875" customWidth="1"/>
    <col min="35" max="35" width="3.5546875" customWidth="1"/>
    <col min="36" max="36" width="3.33203125" customWidth="1"/>
    <col min="37" max="37" width="4.33203125" customWidth="1"/>
    <col min="38" max="38" width="3.5546875" customWidth="1"/>
    <col min="39" max="39" width="3.88671875" customWidth="1"/>
    <col min="40" max="40" width="3.33203125" customWidth="1"/>
    <col min="41" max="41" width="4.44140625" customWidth="1"/>
    <col min="42" max="42" width="4.33203125" customWidth="1"/>
    <col min="43" max="43" width="3.6640625" customWidth="1"/>
    <col min="44" max="44" width="2.88671875" customWidth="1"/>
    <col min="45" max="45" width="3.6640625" customWidth="1"/>
    <col min="46" max="46" width="4.88671875" bestFit="1" customWidth="1"/>
    <col min="47" max="47" width="3.44140625" customWidth="1"/>
    <col min="48" max="48" width="3.5546875" customWidth="1"/>
    <col min="49" max="49" width="3.44140625" customWidth="1"/>
    <col min="50" max="57" width="4" customWidth="1"/>
    <col min="58" max="58" width="6.44140625" customWidth="1"/>
  </cols>
  <sheetData>
    <row r="1" spans="1:60" s="25" customFormat="1" x14ac:dyDescent="0.25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4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51" customHeight="1" thickBot="1" x14ac:dyDescent="0.3">
      <c r="A3" s="318" t="s">
        <v>1</v>
      </c>
      <c r="B3" s="300" t="s">
        <v>2</v>
      </c>
      <c r="C3" s="322" t="s">
        <v>3</v>
      </c>
      <c r="D3" s="304" t="s">
        <v>77</v>
      </c>
      <c r="E3" s="304" t="s">
        <v>40</v>
      </c>
      <c r="F3" s="324" t="s">
        <v>4</v>
      </c>
      <c r="G3" s="316" t="s">
        <v>5</v>
      </c>
      <c r="H3" s="316"/>
      <c r="I3" s="316"/>
      <c r="J3" s="317"/>
      <c r="K3" s="292" t="s">
        <v>46</v>
      </c>
      <c r="L3" s="293"/>
      <c r="M3" s="293"/>
      <c r="N3" s="293"/>
      <c r="O3" s="293"/>
      <c r="P3" s="293"/>
      <c r="Q3" s="293"/>
      <c r="R3" s="293"/>
      <c r="S3" s="293"/>
      <c r="T3" s="293"/>
      <c r="U3" s="293"/>
      <c r="V3" s="293"/>
      <c r="W3" s="293"/>
      <c r="X3" s="293"/>
      <c r="Y3" s="293"/>
      <c r="Z3" s="293"/>
      <c r="AA3" s="293"/>
      <c r="AB3" s="293"/>
      <c r="AC3" s="293"/>
      <c r="AD3" s="293"/>
      <c r="AE3" s="293"/>
      <c r="AF3" s="293"/>
      <c r="AG3" s="294"/>
      <c r="AH3" s="314" t="s">
        <v>56</v>
      </c>
      <c r="AI3" s="314"/>
      <c r="AJ3" s="314"/>
      <c r="AK3" s="286" t="s">
        <v>6</v>
      </c>
      <c r="AL3" s="286" t="s">
        <v>93</v>
      </c>
      <c r="AM3" s="286" t="s">
        <v>48</v>
      </c>
      <c r="AN3" s="286" t="s">
        <v>49</v>
      </c>
      <c r="AO3" s="286" t="s">
        <v>7</v>
      </c>
      <c r="AP3" s="286" t="s">
        <v>22</v>
      </c>
      <c r="AQ3" s="287" t="s">
        <v>8</v>
      </c>
      <c r="AR3" s="287" t="s">
        <v>57</v>
      </c>
      <c r="AS3" s="287" t="s">
        <v>24</v>
      </c>
      <c r="AT3" s="38" t="s">
        <v>28</v>
      </c>
      <c r="AU3" s="38" t="s">
        <v>29</v>
      </c>
      <c r="AV3" s="287" t="s">
        <v>9</v>
      </c>
      <c r="AW3" s="287" t="s">
        <v>30</v>
      </c>
      <c r="AX3" s="287" t="s">
        <v>33</v>
      </c>
      <c r="AY3" s="287" t="s">
        <v>34</v>
      </c>
      <c r="AZ3" s="287" t="s">
        <v>35</v>
      </c>
      <c r="BA3" s="287" t="s">
        <v>36</v>
      </c>
      <c r="BB3" s="28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5.4" x14ac:dyDescent="0.25">
      <c r="A4" s="319"/>
      <c r="B4" s="301"/>
      <c r="C4" s="323"/>
      <c r="D4" s="305"/>
      <c r="E4" s="305"/>
      <c r="F4" s="325"/>
      <c r="G4" s="284" t="s">
        <v>11</v>
      </c>
      <c r="H4" s="284" t="s">
        <v>12</v>
      </c>
      <c r="I4" s="284" t="s">
        <v>13</v>
      </c>
      <c r="J4" s="16" t="s">
        <v>14</v>
      </c>
      <c r="K4" s="30" t="s">
        <v>43</v>
      </c>
      <c r="L4" s="283" t="s">
        <v>44</v>
      </c>
      <c r="M4" s="31" t="s">
        <v>45</v>
      </c>
      <c r="N4" s="282" t="s">
        <v>47</v>
      </c>
      <c r="O4" s="282" t="s">
        <v>48</v>
      </c>
      <c r="P4" s="282" t="s">
        <v>49</v>
      </c>
      <c r="Q4" s="282" t="s">
        <v>7</v>
      </c>
      <c r="R4" s="282" t="s">
        <v>22</v>
      </c>
      <c r="S4" s="282" t="s">
        <v>50</v>
      </c>
      <c r="T4" s="282" t="s">
        <v>51</v>
      </c>
      <c r="U4" s="282" t="s">
        <v>52</v>
      </c>
      <c r="V4" s="282" t="s">
        <v>53</v>
      </c>
      <c r="W4" s="282" t="s">
        <v>29</v>
      </c>
      <c r="X4" s="282" t="s">
        <v>9</v>
      </c>
      <c r="Y4" s="282" t="s">
        <v>54</v>
      </c>
      <c r="Z4" s="282" t="s">
        <v>55</v>
      </c>
      <c r="AA4" s="282" t="s">
        <v>34</v>
      </c>
      <c r="AB4" s="282" t="s">
        <v>35</v>
      </c>
      <c r="AC4" s="282" t="s">
        <v>36</v>
      </c>
      <c r="AD4" s="282" t="s">
        <v>37</v>
      </c>
      <c r="AE4" s="282" t="s">
        <v>59</v>
      </c>
      <c r="AF4" s="282" t="s">
        <v>60</v>
      </c>
      <c r="AG4" s="15" t="s">
        <v>62</v>
      </c>
      <c r="AH4" s="286" t="s">
        <v>43</v>
      </c>
      <c r="AI4" s="286" t="s">
        <v>44</v>
      </c>
      <c r="AJ4" s="286" t="s">
        <v>45</v>
      </c>
      <c r="AK4" s="286" t="s">
        <v>42</v>
      </c>
      <c r="AL4" s="286" t="s">
        <v>15</v>
      </c>
      <c r="AM4" s="286" t="s">
        <v>16</v>
      </c>
      <c r="AN4" s="286" t="s">
        <v>15</v>
      </c>
      <c r="AO4" s="286" t="s">
        <v>17</v>
      </c>
      <c r="AP4" s="286" t="s">
        <v>18</v>
      </c>
      <c r="AQ4" s="286" t="s">
        <v>23</v>
      </c>
      <c r="AR4" s="286" t="s">
        <v>19</v>
      </c>
      <c r="AS4" s="286" t="s">
        <v>25</v>
      </c>
      <c r="AT4" s="286" t="s">
        <v>92</v>
      </c>
      <c r="AU4" s="286" t="s">
        <v>31</v>
      </c>
      <c r="AV4" s="286" t="s">
        <v>32</v>
      </c>
      <c r="AW4" s="286" t="s">
        <v>27</v>
      </c>
      <c r="AX4" s="286" t="s">
        <v>96</v>
      </c>
      <c r="AY4" s="286" t="s">
        <v>20</v>
      </c>
      <c r="AZ4" s="286" t="s">
        <v>26</v>
      </c>
      <c r="BA4" s="286" t="s">
        <v>20</v>
      </c>
      <c r="BB4" s="286" t="s">
        <v>38</v>
      </c>
      <c r="BC4" s="286" t="s">
        <v>58</v>
      </c>
      <c r="BD4" s="286" t="s">
        <v>61</v>
      </c>
      <c r="BE4" s="94" t="s">
        <v>63</v>
      </c>
      <c r="BF4" s="108" t="s">
        <v>76</v>
      </c>
    </row>
    <row r="5" spans="1:60" x14ac:dyDescent="0.25">
      <c r="A5" s="20"/>
      <c r="B5" s="21" t="s">
        <v>78</v>
      </c>
      <c r="C5" s="282"/>
      <c r="D5" s="281"/>
      <c r="E5" s="285"/>
      <c r="F5" s="284"/>
      <c r="G5" s="284"/>
      <c r="H5" s="284"/>
      <c r="I5" s="284"/>
      <c r="J5" s="16"/>
      <c r="K5" s="32"/>
      <c r="L5" s="286"/>
      <c r="M5" s="33"/>
      <c r="N5" s="282"/>
      <c r="O5" s="282"/>
      <c r="P5" s="282"/>
      <c r="Q5" s="282"/>
      <c r="R5" s="282"/>
      <c r="S5" s="282"/>
      <c r="T5" s="282"/>
      <c r="U5" s="282"/>
      <c r="V5" s="282"/>
      <c r="W5" s="282"/>
      <c r="X5" s="282"/>
      <c r="Y5" s="282"/>
      <c r="Z5" s="282"/>
      <c r="AA5" s="282"/>
      <c r="AB5" s="282"/>
      <c r="AC5" s="282"/>
      <c r="AD5" s="282"/>
      <c r="AE5" s="282"/>
      <c r="AF5" s="282"/>
      <c r="AG5" s="282"/>
      <c r="AH5" s="282"/>
      <c r="AI5" s="282"/>
      <c r="AJ5" s="282"/>
      <c r="AK5" s="15"/>
      <c r="AL5" s="16"/>
      <c r="AM5" s="282"/>
      <c r="AN5" s="284"/>
      <c r="AO5" s="284"/>
      <c r="AP5" s="284"/>
      <c r="AQ5" s="284"/>
      <c r="AR5" s="284"/>
      <c r="AS5" s="284"/>
      <c r="AT5" s="284"/>
      <c r="AU5" s="284"/>
      <c r="AV5" s="284"/>
      <c r="AW5" s="284"/>
      <c r="AX5" s="284"/>
      <c r="AY5" s="284"/>
      <c r="AZ5" s="284"/>
      <c r="BA5" s="284"/>
      <c r="BB5" s="284"/>
      <c r="BC5" s="284"/>
      <c r="BD5" s="284"/>
      <c r="BE5" s="94"/>
      <c r="BF5" s="91">
        <f>SUM(BF6:BF28)</f>
        <v>0</v>
      </c>
      <c r="BG5">
        <v>0.22222222222222221</v>
      </c>
      <c r="BH5">
        <v>1050</v>
      </c>
    </row>
    <row r="6" spans="1:60" s="6" customFormat="1" ht="24.75" customHeight="1" x14ac:dyDescent="0.25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 t="str">
        <f>IF(K6&lt;&gt;"",H6*K6,"")</f>
        <v/>
      </c>
      <c r="AI6" s="43" t="str">
        <f>IF(L6&lt;&gt;"",H6*L6,"")</f>
        <v/>
      </c>
      <c r="AJ6" s="43" t="str">
        <f>IF(M6&lt;&gt;"",H6*M6*J6,"")</f>
        <v/>
      </c>
      <c r="AK6" s="43">
        <f>IF(E6="з",0.15,0.05)*IF(AH6&lt;&gt;"",AH6,0)+2*IF(N6=1,1,0)</f>
        <v>0</v>
      </c>
      <c r="AL6" s="43" t="str">
        <f>IF(N6&lt;&gt;"",0.33*G6,"")</f>
        <v/>
      </c>
      <c r="AM6" s="43" t="str">
        <f>IF(O6="+",0.25*G6,IF(O6="+Д",G6*0.33,""))</f>
        <v/>
      </c>
      <c r="AN6" s="43"/>
      <c r="AO6" s="43" t="str">
        <f>IF(Q6&lt;&gt;"",2*G6,"")</f>
        <v/>
      </c>
      <c r="AP6" s="43" t="str">
        <f>IF(R6&lt;&gt;"",3*H6,"")</f>
        <v/>
      </c>
      <c r="AQ6" s="43"/>
      <c r="AR6" s="43"/>
      <c r="AS6" s="43"/>
      <c r="AT6" s="43" t="str">
        <f>IF(V6&lt;&gt;"",0.5*G6,"")</f>
        <v/>
      </c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>
        <f>SUM(AH6:BE6)</f>
        <v>0</v>
      </c>
    </row>
    <row r="7" spans="1:60" s="6" customFormat="1" ht="12" x14ac:dyDescent="0.25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 t="str">
        <f t="shared" ref="AH7:AH28" si="0">IF(K7&lt;&gt;"",H7*K7,"")</f>
        <v/>
      </c>
      <c r="AI7" s="43" t="str">
        <f t="shared" ref="AI7:AI28" si="1">IF(L7&lt;&gt;"",H7*L7,"")</f>
        <v/>
      </c>
      <c r="AJ7" s="43" t="str">
        <f t="shared" ref="AJ7:AJ28" si="2">IF(M7&lt;&gt;"",H7*M7*J7,"")</f>
        <v/>
      </c>
      <c r="AK7" s="43">
        <f t="shared" ref="AK7:AK28" si="3">IF(E7="з",0.15,0.05)*IF(AH7&lt;&gt;"",AH7,0)+2*IF(N7=1,1,0)</f>
        <v>0</v>
      </c>
      <c r="AL7" s="43" t="str">
        <f t="shared" ref="AL7:AL28" si="4">IF(N7&lt;&gt;"",0.33*G7,"")</f>
        <v/>
      </c>
      <c r="AM7" s="43" t="str">
        <f t="shared" ref="AM7:AM28" si="5">IF(O7="+",0.25*G7,IF(O7="+Д",G7*0.33,""))</f>
        <v/>
      </c>
      <c r="AN7" s="43"/>
      <c r="AO7" s="43" t="str">
        <f t="shared" ref="AO7:AO28" si="6">IF(Q7&lt;&gt;"",2*G7,"")</f>
        <v/>
      </c>
      <c r="AP7" s="43" t="str">
        <f t="shared" ref="AP7:AP28" si="7">IF(R7&lt;&gt;"",3*H7,"")</f>
        <v/>
      </c>
      <c r="AQ7" s="43"/>
      <c r="AR7" s="43"/>
      <c r="AS7" s="43"/>
      <c r="AT7" s="43" t="str">
        <f t="shared" ref="AT7:AT28" si="8">IF(V7&lt;&gt;"",0.5*G7,"")</f>
        <v/>
      </c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>
        <f t="shared" ref="BF7:BF28" si="9">SUM(AH7:BE7)</f>
        <v>0</v>
      </c>
    </row>
    <row r="8" spans="1:60" s="6" customFormat="1" ht="12" x14ac:dyDescent="0.25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 t="str">
        <f t="shared" si="0"/>
        <v/>
      </c>
      <c r="AI8" s="43" t="str">
        <f t="shared" si="1"/>
        <v/>
      </c>
      <c r="AJ8" s="43" t="str">
        <f t="shared" si="2"/>
        <v/>
      </c>
      <c r="AK8" s="43">
        <f t="shared" si="3"/>
        <v>0</v>
      </c>
      <c r="AL8" s="43" t="str">
        <f t="shared" si="4"/>
        <v/>
      </c>
      <c r="AM8" s="43" t="str">
        <f t="shared" si="5"/>
        <v/>
      </c>
      <c r="AN8" s="43"/>
      <c r="AO8" s="43" t="str">
        <f t="shared" si="6"/>
        <v/>
      </c>
      <c r="AP8" s="43" t="str">
        <f t="shared" si="7"/>
        <v/>
      </c>
      <c r="AQ8" s="43"/>
      <c r="AR8" s="43"/>
      <c r="AS8" s="43"/>
      <c r="AT8" s="43" t="str">
        <f t="shared" si="8"/>
        <v/>
      </c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>
        <f t="shared" si="9"/>
        <v>0</v>
      </c>
    </row>
    <row r="9" spans="1:60" s="6" customFormat="1" ht="12" x14ac:dyDescent="0.25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 t="str">
        <f t="shared" si="0"/>
        <v/>
      </c>
      <c r="AI9" s="43" t="str">
        <f t="shared" si="1"/>
        <v/>
      </c>
      <c r="AJ9" s="43" t="str">
        <f t="shared" si="2"/>
        <v/>
      </c>
      <c r="AK9" s="43">
        <f t="shared" si="3"/>
        <v>0</v>
      </c>
      <c r="AL9" s="43" t="str">
        <f t="shared" si="4"/>
        <v/>
      </c>
      <c r="AM9" s="43" t="str">
        <f t="shared" si="5"/>
        <v/>
      </c>
      <c r="AN9" s="43"/>
      <c r="AO9" s="43" t="str">
        <f t="shared" si="6"/>
        <v/>
      </c>
      <c r="AP9" s="43" t="str">
        <f t="shared" si="7"/>
        <v/>
      </c>
      <c r="AQ9" s="43"/>
      <c r="AR9" s="43"/>
      <c r="AS9" s="43"/>
      <c r="AT9" s="43" t="str">
        <f t="shared" si="8"/>
        <v/>
      </c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>
        <f t="shared" si="9"/>
        <v>0</v>
      </c>
      <c r="BG9" s="93"/>
    </row>
    <row r="10" spans="1:60" s="6" customFormat="1" ht="12" x14ac:dyDescent="0.25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 t="str">
        <f t="shared" si="0"/>
        <v/>
      </c>
      <c r="AI10" s="43" t="str">
        <f t="shared" si="1"/>
        <v/>
      </c>
      <c r="AJ10" s="43" t="str">
        <f t="shared" si="2"/>
        <v/>
      </c>
      <c r="AK10" s="43">
        <f t="shared" si="3"/>
        <v>0</v>
      </c>
      <c r="AL10" s="43" t="str">
        <f t="shared" si="4"/>
        <v/>
      </c>
      <c r="AM10" s="43" t="str">
        <f t="shared" si="5"/>
        <v/>
      </c>
      <c r="AN10" s="43"/>
      <c r="AO10" s="43" t="str">
        <f t="shared" si="6"/>
        <v/>
      </c>
      <c r="AP10" s="43" t="str">
        <f t="shared" si="7"/>
        <v/>
      </c>
      <c r="AQ10" s="43"/>
      <c r="AR10" s="43"/>
      <c r="AS10" s="43"/>
      <c r="AT10" s="43" t="str">
        <f t="shared" si="8"/>
        <v/>
      </c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>
        <f t="shared" si="9"/>
        <v>0</v>
      </c>
      <c r="BG10" s="93"/>
    </row>
    <row r="11" spans="1:60" s="6" customFormat="1" ht="12" x14ac:dyDescent="0.25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 t="str">
        <f t="shared" si="0"/>
        <v/>
      </c>
      <c r="AI11" s="43" t="str">
        <f t="shared" si="1"/>
        <v/>
      </c>
      <c r="AJ11" s="43" t="str">
        <f t="shared" si="2"/>
        <v/>
      </c>
      <c r="AK11" s="43">
        <f t="shared" si="3"/>
        <v>0</v>
      </c>
      <c r="AL11" s="43" t="str">
        <f t="shared" si="4"/>
        <v/>
      </c>
      <c r="AM11" s="43" t="str">
        <f t="shared" si="5"/>
        <v/>
      </c>
      <c r="AN11" s="43"/>
      <c r="AO11" s="43" t="str">
        <f t="shared" si="6"/>
        <v/>
      </c>
      <c r="AP11" s="43" t="str">
        <f t="shared" si="7"/>
        <v/>
      </c>
      <c r="AQ11" s="43"/>
      <c r="AR11" s="43"/>
      <c r="AS11" s="43"/>
      <c r="AT11" s="43" t="str">
        <f t="shared" si="8"/>
        <v/>
      </c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>
        <f t="shared" si="9"/>
        <v>0</v>
      </c>
    </row>
    <row r="12" spans="1:60" s="6" customFormat="1" x14ac:dyDescent="0.25">
      <c r="A12" s="43"/>
      <c r="B12" s="54"/>
      <c r="C12" s="43"/>
      <c r="D12" s="43"/>
      <c r="E12" s="43"/>
      <c r="F12" s="224"/>
      <c r="G12" s="251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 t="str">
        <f t="shared" si="0"/>
        <v/>
      </c>
      <c r="AI12" s="43" t="str">
        <f t="shared" si="1"/>
        <v/>
      </c>
      <c r="AJ12" s="43" t="str">
        <f t="shared" si="2"/>
        <v/>
      </c>
      <c r="AK12" s="43">
        <f t="shared" si="3"/>
        <v>0</v>
      </c>
      <c r="AL12" s="43" t="str">
        <f t="shared" si="4"/>
        <v/>
      </c>
      <c r="AM12" s="43" t="str">
        <f t="shared" si="5"/>
        <v/>
      </c>
      <c r="AN12" s="43"/>
      <c r="AO12" s="43" t="str">
        <f t="shared" si="6"/>
        <v/>
      </c>
      <c r="AP12" s="43" t="str">
        <f t="shared" si="7"/>
        <v/>
      </c>
      <c r="AQ12" s="43"/>
      <c r="AR12" s="43"/>
      <c r="AS12" s="43"/>
      <c r="AT12" s="43" t="str">
        <f t="shared" si="8"/>
        <v/>
      </c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>
        <f t="shared" si="9"/>
        <v>0</v>
      </c>
    </row>
    <row r="13" spans="1:60" s="6" customFormat="1" x14ac:dyDescent="0.25">
      <c r="A13" s="43"/>
      <c r="B13" s="201"/>
      <c r="C13" s="43"/>
      <c r="D13" s="43"/>
      <c r="E13" s="43"/>
      <c r="F13" s="224"/>
      <c r="G13" s="251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 t="str">
        <f t="shared" si="0"/>
        <v/>
      </c>
      <c r="AI13" s="43" t="str">
        <f t="shared" si="1"/>
        <v/>
      </c>
      <c r="AJ13" s="43" t="str">
        <f t="shared" si="2"/>
        <v/>
      </c>
      <c r="AK13" s="43">
        <f t="shared" si="3"/>
        <v>0</v>
      </c>
      <c r="AL13" s="43" t="str">
        <f t="shared" si="4"/>
        <v/>
      </c>
      <c r="AM13" s="43" t="str">
        <f t="shared" si="5"/>
        <v/>
      </c>
      <c r="AN13" s="43"/>
      <c r="AO13" s="43" t="str">
        <f t="shared" si="6"/>
        <v/>
      </c>
      <c r="AP13" s="43" t="str">
        <f t="shared" si="7"/>
        <v/>
      </c>
      <c r="AQ13" s="43"/>
      <c r="AR13" s="43"/>
      <c r="AS13" s="43"/>
      <c r="AT13" s="43" t="str">
        <f t="shared" si="8"/>
        <v/>
      </c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>
        <f t="shared" si="9"/>
        <v>0</v>
      </c>
    </row>
    <row r="14" spans="1:60" s="6" customFormat="1" x14ac:dyDescent="0.25">
      <c r="A14" s="43"/>
      <c r="B14" s="54"/>
      <c r="C14" s="43"/>
      <c r="D14" s="43"/>
      <c r="E14" s="43"/>
      <c r="F14" s="224"/>
      <c r="G14" s="251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 t="str">
        <f t="shared" si="0"/>
        <v/>
      </c>
      <c r="AI14" s="43" t="str">
        <f t="shared" si="1"/>
        <v/>
      </c>
      <c r="AJ14" s="43" t="str">
        <f t="shared" si="2"/>
        <v/>
      </c>
      <c r="AK14" s="43">
        <f t="shared" si="3"/>
        <v>0</v>
      </c>
      <c r="AL14" s="43" t="str">
        <f t="shared" si="4"/>
        <v/>
      </c>
      <c r="AM14" s="43" t="str">
        <f t="shared" si="5"/>
        <v/>
      </c>
      <c r="AN14" s="43"/>
      <c r="AO14" s="43" t="str">
        <f t="shared" si="6"/>
        <v/>
      </c>
      <c r="AP14" s="43" t="str">
        <f t="shared" si="7"/>
        <v/>
      </c>
      <c r="AQ14" s="43"/>
      <c r="AR14" s="43"/>
      <c r="AS14" s="43"/>
      <c r="AT14" s="43" t="str">
        <f t="shared" si="8"/>
        <v/>
      </c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>
        <f t="shared" si="9"/>
        <v>0</v>
      </c>
    </row>
    <row r="15" spans="1:60" s="6" customFormat="1" x14ac:dyDescent="0.25">
      <c r="A15" s="43"/>
      <c r="B15" s="54"/>
      <c r="C15" s="43"/>
      <c r="D15" s="43"/>
      <c r="E15" s="43"/>
      <c r="F15" s="269"/>
      <c r="G15" s="251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 t="str">
        <f t="shared" si="0"/>
        <v/>
      </c>
      <c r="AI15" s="43" t="str">
        <f t="shared" si="1"/>
        <v/>
      </c>
      <c r="AJ15" s="43" t="str">
        <f t="shared" si="2"/>
        <v/>
      </c>
      <c r="AK15" s="43">
        <f t="shared" si="3"/>
        <v>0</v>
      </c>
      <c r="AL15" s="43" t="str">
        <f t="shared" si="4"/>
        <v/>
      </c>
      <c r="AM15" s="43" t="str">
        <f t="shared" si="5"/>
        <v/>
      </c>
      <c r="AN15" s="43"/>
      <c r="AO15" s="43" t="str">
        <f t="shared" si="6"/>
        <v/>
      </c>
      <c r="AP15" s="43" t="str">
        <f t="shared" si="7"/>
        <v/>
      </c>
      <c r="AQ15" s="43"/>
      <c r="AR15" s="43"/>
      <c r="AS15" s="43"/>
      <c r="AT15" s="43" t="str">
        <f t="shared" si="8"/>
        <v/>
      </c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>
        <f t="shared" si="9"/>
        <v>0</v>
      </c>
    </row>
    <row r="16" spans="1:60" s="6" customFormat="1" ht="12" x14ac:dyDescent="0.25">
      <c r="A16" s="43"/>
      <c r="B16" s="228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 t="str">
        <f t="shared" si="0"/>
        <v/>
      </c>
      <c r="AI16" s="43" t="str">
        <f t="shared" si="1"/>
        <v/>
      </c>
      <c r="AJ16" s="43" t="str">
        <f t="shared" si="2"/>
        <v/>
      </c>
      <c r="AK16" s="43">
        <f t="shared" si="3"/>
        <v>0</v>
      </c>
      <c r="AL16" s="43" t="str">
        <f t="shared" si="4"/>
        <v/>
      </c>
      <c r="AM16" s="43" t="str">
        <f t="shared" si="5"/>
        <v/>
      </c>
      <c r="AN16" s="43"/>
      <c r="AO16" s="43" t="str">
        <f t="shared" si="6"/>
        <v/>
      </c>
      <c r="AP16" s="43" t="str">
        <f t="shared" si="7"/>
        <v/>
      </c>
      <c r="AQ16" s="43"/>
      <c r="AR16" s="43"/>
      <c r="AS16" s="43"/>
      <c r="AT16" s="43" t="str">
        <f t="shared" si="8"/>
        <v/>
      </c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>
        <f t="shared" si="9"/>
        <v>0</v>
      </c>
    </row>
    <row r="17" spans="1:212" x14ac:dyDescent="0.25">
      <c r="A17" s="43"/>
      <c r="B17" s="201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 t="str">
        <f t="shared" si="0"/>
        <v/>
      </c>
      <c r="AI17" s="43" t="str">
        <f t="shared" si="1"/>
        <v/>
      </c>
      <c r="AJ17" s="43" t="str">
        <f t="shared" si="2"/>
        <v/>
      </c>
      <c r="AK17" s="43">
        <f t="shared" si="3"/>
        <v>0</v>
      </c>
      <c r="AL17" s="43" t="str">
        <f t="shared" si="4"/>
        <v/>
      </c>
      <c r="AM17" s="43" t="str">
        <f t="shared" si="5"/>
        <v/>
      </c>
      <c r="AN17" s="43"/>
      <c r="AO17" s="43" t="str">
        <f t="shared" si="6"/>
        <v/>
      </c>
      <c r="AP17" s="43" t="str">
        <f t="shared" si="7"/>
        <v/>
      </c>
      <c r="AQ17" s="43"/>
      <c r="AR17" s="43"/>
      <c r="AS17" s="43"/>
      <c r="AT17" s="43" t="str">
        <f t="shared" si="8"/>
        <v/>
      </c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ht="30" customHeight="1" x14ac:dyDescent="0.25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 t="str">
        <f t="shared" si="0"/>
        <v/>
      </c>
      <c r="AI18" s="43" t="str">
        <f t="shared" si="1"/>
        <v/>
      </c>
      <c r="AJ18" s="43" t="str">
        <f t="shared" si="2"/>
        <v/>
      </c>
      <c r="AK18" s="43">
        <f t="shared" si="3"/>
        <v>0</v>
      </c>
      <c r="AL18" s="43" t="str">
        <f t="shared" si="4"/>
        <v/>
      </c>
      <c r="AM18" s="43" t="str">
        <f t="shared" si="5"/>
        <v/>
      </c>
      <c r="AN18" s="43"/>
      <c r="AO18" s="43" t="str">
        <f t="shared" si="6"/>
        <v/>
      </c>
      <c r="AP18" s="43" t="str">
        <f t="shared" si="7"/>
        <v/>
      </c>
      <c r="AQ18" s="43"/>
      <c r="AR18" s="43"/>
      <c r="AS18" s="43"/>
      <c r="AT18" s="43" t="str">
        <f t="shared" si="8"/>
        <v/>
      </c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5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 t="str">
        <f t="shared" si="0"/>
        <v/>
      </c>
      <c r="AI19" s="43" t="str">
        <f t="shared" si="1"/>
        <v/>
      </c>
      <c r="AJ19" s="43" t="str">
        <f t="shared" si="2"/>
        <v/>
      </c>
      <c r="AK19" s="43">
        <f t="shared" si="3"/>
        <v>0</v>
      </c>
      <c r="AL19" s="43" t="str">
        <f t="shared" si="4"/>
        <v/>
      </c>
      <c r="AM19" s="43" t="str">
        <f t="shared" si="5"/>
        <v/>
      </c>
      <c r="AN19" s="43"/>
      <c r="AO19" s="43" t="str">
        <f t="shared" si="6"/>
        <v/>
      </c>
      <c r="AP19" s="43" t="str">
        <f t="shared" si="7"/>
        <v/>
      </c>
      <c r="AQ19" s="43"/>
      <c r="AR19" s="43"/>
      <c r="AS19" s="43"/>
      <c r="AT19" s="43" t="str">
        <f t="shared" si="8"/>
        <v/>
      </c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5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 t="str">
        <f t="shared" si="0"/>
        <v/>
      </c>
      <c r="AI20" s="43" t="str">
        <f t="shared" si="1"/>
        <v/>
      </c>
      <c r="AJ20" s="43" t="str">
        <f t="shared" si="2"/>
        <v/>
      </c>
      <c r="AK20" s="43">
        <f t="shared" si="3"/>
        <v>0</v>
      </c>
      <c r="AL20" s="43" t="str">
        <f t="shared" si="4"/>
        <v/>
      </c>
      <c r="AM20" s="43" t="str">
        <f t="shared" si="5"/>
        <v/>
      </c>
      <c r="AN20" s="43"/>
      <c r="AO20" s="43" t="str">
        <f t="shared" si="6"/>
        <v/>
      </c>
      <c r="AP20" s="43" t="str">
        <f t="shared" si="7"/>
        <v/>
      </c>
      <c r="AQ20" s="43"/>
      <c r="AR20" s="43"/>
      <c r="AS20" s="43"/>
      <c r="AT20" s="43" t="str">
        <f t="shared" si="8"/>
        <v/>
      </c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>
        <f t="shared" si="9"/>
        <v>0</v>
      </c>
    </row>
    <row r="21" spans="1:212" s="6" customFormat="1" ht="12" x14ac:dyDescent="0.25">
      <c r="A21" s="43"/>
      <c r="B21" s="201"/>
      <c r="C21" s="43"/>
      <c r="D21" s="43"/>
      <c r="E21" s="43"/>
      <c r="F21" s="269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 t="str">
        <f t="shared" si="0"/>
        <v/>
      </c>
      <c r="AI21" s="43" t="str">
        <f t="shared" si="1"/>
        <v/>
      </c>
      <c r="AJ21" s="43" t="str">
        <f t="shared" si="2"/>
        <v/>
      </c>
      <c r="AK21" s="43">
        <f t="shared" si="3"/>
        <v>0</v>
      </c>
      <c r="AL21" s="43" t="str">
        <f t="shared" si="4"/>
        <v/>
      </c>
      <c r="AM21" s="43" t="str">
        <f t="shared" si="5"/>
        <v/>
      </c>
      <c r="AN21" s="43"/>
      <c r="AO21" s="43" t="str">
        <f t="shared" si="6"/>
        <v/>
      </c>
      <c r="AP21" s="43" t="str">
        <f t="shared" si="7"/>
        <v/>
      </c>
      <c r="AQ21" s="43"/>
      <c r="AR21" s="43"/>
      <c r="AS21" s="43"/>
      <c r="AT21" s="43" t="str">
        <f t="shared" si="8"/>
        <v/>
      </c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>
        <f t="shared" si="9"/>
        <v>0</v>
      </c>
      <c r="BH21" s="132"/>
      <c r="BI21" s="132"/>
      <c r="BJ21" s="132"/>
      <c r="BK21" s="19"/>
      <c r="BL21" s="19"/>
      <c r="BM21" s="19"/>
      <c r="BN21" s="19"/>
      <c r="BO21" s="288">
        <f>BF21-SUM(BH21:BN21)</f>
        <v>0</v>
      </c>
      <c r="BP21" s="19"/>
    </row>
    <row r="22" spans="1:212" s="6" customFormat="1" ht="12" x14ac:dyDescent="0.25">
      <c r="A22" s="43"/>
      <c r="B22" s="201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 t="str">
        <f t="shared" si="0"/>
        <v/>
      </c>
      <c r="AI22" s="43" t="str">
        <f t="shared" si="1"/>
        <v/>
      </c>
      <c r="AJ22" s="43" t="str">
        <f t="shared" si="2"/>
        <v/>
      </c>
      <c r="AK22" s="43">
        <f t="shared" si="3"/>
        <v>0</v>
      </c>
      <c r="AL22" s="43" t="str">
        <f t="shared" si="4"/>
        <v/>
      </c>
      <c r="AM22" s="43" t="str">
        <f t="shared" si="5"/>
        <v/>
      </c>
      <c r="AN22" s="43"/>
      <c r="AO22" s="43" t="str">
        <f t="shared" si="6"/>
        <v/>
      </c>
      <c r="AP22" s="43" t="str">
        <f t="shared" si="7"/>
        <v/>
      </c>
      <c r="AQ22" s="43"/>
      <c r="AR22" s="43"/>
      <c r="AS22" s="43"/>
      <c r="AT22" s="43" t="str">
        <f t="shared" si="8"/>
        <v/>
      </c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>
        <f t="shared" si="9"/>
        <v>0</v>
      </c>
    </row>
    <row r="23" spans="1:212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 t="str">
        <f t="shared" si="0"/>
        <v/>
      </c>
      <c r="AI23" s="43" t="str">
        <f t="shared" si="1"/>
        <v/>
      </c>
      <c r="AJ23" s="43" t="str">
        <f t="shared" si="2"/>
        <v/>
      </c>
      <c r="AK23" s="43">
        <f t="shared" si="3"/>
        <v>0</v>
      </c>
      <c r="AL23" s="43" t="str">
        <f t="shared" si="4"/>
        <v/>
      </c>
      <c r="AM23" s="43" t="str">
        <f t="shared" si="5"/>
        <v/>
      </c>
      <c r="AN23" s="43"/>
      <c r="AO23" s="43" t="str">
        <f t="shared" si="6"/>
        <v/>
      </c>
      <c r="AP23" s="43" t="str">
        <f t="shared" si="7"/>
        <v/>
      </c>
      <c r="AQ23" s="43"/>
      <c r="AR23" s="43"/>
      <c r="AS23" s="43"/>
      <c r="AT23" s="43" t="str">
        <f t="shared" si="8"/>
        <v/>
      </c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>
        <f t="shared" si="9"/>
        <v>0</v>
      </c>
    </row>
    <row r="24" spans="1:212" x14ac:dyDescent="0.25">
      <c r="A24" s="43"/>
      <c r="B24" s="22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 t="str">
        <f t="shared" si="0"/>
        <v/>
      </c>
      <c r="AI24" s="43" t="str">
        <f t="shared" si="1"/>
        <v/>
      </c>
      <c r="AJ24" s="43" t="str">
        <f t="shared" si="2"/>
        <v/>
      </c>
      <c r="AK24" s="43">
        <f t="shared" si="3"/>
        <v>0</v>
      </c>
      <c r="AL24" s="43" t="str">
        <f t="shared" si="4"/>
        <v/>
      </c>
      <c r="AM24" s="43" t="str">
        <f t="shared" si="5"/>
        <v/>
      </c>
      <c r="AN24" s="43"/>
      <c r="AO24" s="43" t="str">
        <f t="shared" si="6"/>
        <v/>
      </c>
      <c r="AP24" s="43" t="str">
        <f t="shared" si="7"/>
        <v/>
      </c>
      <c r="AQ24" s="43"/>
      <c r="AR24" s="43"/>
      <c r="AS24" s="43"/>
      <c r="AT24" s="43" t="str">
        <f t="shared" si="8"/>
        <v/>
      </c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>
        <f t="shared" si="9"/>
        <v>0</v>
      </c>
    </row>
    <row r="25" spans="1:212" s="6" customFormat="1" ht="12" x14ac:dyDescent="0.25">
      <c r="A25" s="43"/>
      <c r="B25" s="201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 t="str">
        <f t="shared" si="0"/>
        <v/>
      </c>
      <c r="AI25" s="43" t="str">
        <f t="shared" si="1"/>
        <v/>
      </c>
      <c r="AJ25" s="43" t="str">
        <f t="shared" si="2"/>
        <v/>
      </c>
      <c r="AK25" s="43">
        <f t="shared" si="3"/>
        <v>0</v>
      </c>
      <c r="AL25" s="43" t="str">
        <f t="shared" si="4"/>
        <v/>
      </c>
      <c r="AM25" s="43" t="str">
        <f t="shared" si="5"/>
        <v/>
      </c>
      <c r="AN25" s="43"/>
      <c r="AO25" s="43" t="str">
        <f t="shared" si="6"/>
        <v/>
      </c>
      <c r="AP25" s="43" t="str">
        <f t="shared" si="7"/>
        <v/>
      </c>
      <c r="AQ25" s="43"/>
      <c r="AR25" s="43"/>
      <c r="AS25" s="43"/>
      <c r="AT25" s="43" t="str">
        <f t="shared" si="8"/>
        <v/>
      </c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>
        <f t="shared" si="9"/>
        <v>0</v>
      </c>
    </row>
    <row r="26" spans="1:212" x14ac:dyDescent="0.25">
      <c r="A26" s="43"/>
      <c r="B26" s="5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 t="str">
        <f t="shared" si="0"/>
        <v/>
      </c>
      <c r="AI26" s="43" t="str">
        <f t="shared" si="1"/>
        <v/>
      </c>
      <c r="AJ26" s="43" t="str">
        <f t="shared" si="2"/>
        <v/>
      </c>
      <c r="AK26" s="43">
        <f t="shared" si="3"/>
        <v>0</v>
      </c>
      <c r="AL26" s="43" t="str">
        <f t="shared" si="4"/>
        <v/>
      </c>
      <c r="AM26" s="43" t="str">
        <f t="shared" si="5"/>
        <v/>
      </c>
      <c r="AN26" s="43"/>
      <c r="AO26" s="43" t="str">
        <f t="shared" si="6"/>
        <v/>
      </c>
      <c r="AP26" s="43" t="str">
        <f t="shared" si="7"/>
        <v/>
      </c>
      <c r="AQ26" s="43"/>
      <c r="AR26" s="43"/>
      <c r="AS26" s="43"/>
      <c r="AT26" s="43" t="str">
        <f t="shared" si="8"/>
        <v/>
      </c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>
        <f t="shared" si="9"/>
        <v>0</v>
      </c>
    </row>
    <row r="27" spans="1:212" s="6" customFormat="1" ht="12" x14ac:dyDescent="0.25">
      <c r="A27" s="43"/>
      <c r="B27" s="201"/>
      <c r="C27" s="43"/>
      <c r="D27" s="43"/>
      <c r="E27" s="43"/>
      <c r="F27" s="224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 t="str">
        <f t="shared" si="0"/>
        <v/>
      </c>
      <c r="AI27" s="43" t="str">
        <f t="shared" si="1"/>
        <v/>
      </c>
      <c r="AJ27" s="43" t="str">
        <f t="shared" si="2"/>
        <v/>
      </c>
      <c r="AK27" s="43">
        <f t="shared" si="3"/>
        <v>0</v>
      </c>
      <c r="AL27" s="43" t="str">
        <f t="shared" si="4"/>
        <v/>
      </c>
      <c r="AM27" s="43" t="str">
        <f t="shared" si="5"/>
        <v/>
      </c>
      <c r="AN27" s="43"/>
      <c r="AO27" s="43" t="str">
        <f t="shared" si="6"/>
        <v/>
      </c>
      <c r="AP27" s="43" t="str">
        <f t="shared" si="7"/>
        <v/>
      </c>
      <c r="AQ27" s="43"/>
      <c r="AR27" s="43"/>
      <c r="AS27" s="43"/>
      <c r="AT27" s="43" t="str">
        <f t="shared" si="8"/>
        <v/>
      </c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>
        <f t="shared" si="9"/>
        <v>0</v>
      </c>
    </row>
    <row r="28" spans="1:212" s="6" customFormat="1" ht="12" x14ac:dyDescent="0.25">
      <c r="A28" s="43"/>
      <c r="B28" s="54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 t="str">
        <f t="shared" si="0"/>
        <v/>
      </c>
      <c r="AI28" s="43" t="str">
        <f t="shared" si="1"/>
        <v/>
      </c>
      <c r="AJ28" s="43" t="str">
        <f t="shared" si="2"/>
        <v/>
      </c>
      <c r="AK28" s="43">
        <f t="shared" si="3"/>
        <v>0</v>
      </c>
      <c r="AL28" s="43" t="str">
        <f t="shared" si="4"/>
        <v/>
      </c>
      <c r="AM28" s="43" t="str">
        <f t="shared" si="5"/>
        <v/>
      </c>
      <c r="AN28" s="43"/>
      <c r="AO28" s="43" t="str">
        <f t="shared" si="6"/>
        <v/>
      </c>
      <c r="AP28" s="43" t="str">
        <f t="shared" si="7"/>
        <v/>
      </c>
      <c r="AQ28" s="43"/>
      <c r="AR28" s="43"/>
      <c r="AS28" s="43"/>
      <c r="AT28" s="43" t="str">
        <f t="shared" si="8"/>
        <v/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>
        <f t="shared" si="9"/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conditionalFormatting sqref="B28">
    <cfRule type="expression" dxfId="1" priority="1" stopIfTrue="1">
      <formula>$FE$682&gt;0</formula>
    </cfRule>
    <cfRule type="expression" dxfId="0" priority="2" stopIfTrue="1">
      <formula>$FF$682&gt;0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HD20"/>
  <sheetViews>
    <sheetView workbookViewId="0">
      <selection activeCell="C26" sqref="C26"/>
    </sheetView>
  </sheetViews>
  <sheetFormatPr defaultRowHeight="13.2" x14ac:dyDescent="0.25"/>
  <cols>
    <col min="1" max="1" width="3.33203125" customWidth="1"/>
    <col min="2" max="2" width="44.33203125" customWidth="1"/>
    <col min="3" max="3" width="12.109375" bestFit="1" customWidth="1"/>
    <col min="4" max="4" width="4.6640625" bestFit="1" customWidth="1"/>
    <col min="5" max="5" width="2.33203125" customWidth="1"/>
    <col min="6" max="6" width="3.44140625" bestFit="1" customWidth="1"/>
    <col min="7" max="7" width="3.5546875" customWidth="1"/>
    <col min="8" max="8" width="2.88671875" customWidth="1"/>
    <col min="9" max="9" width="2.33203125" customWidth="1"/>
    <col min="10" max="10" width="4.44140625" customWidth="1"/>
    <col min="11" max="13" width="2.5546875" customWidth="1"/>
    <col min="14" max="14" width="2.33203125" customWidth="1"/>
    <col min="15" max="15" width="2.5546875" customWidth="1"/>
    <col min="16" max="16" width="2.88671875" bestFit="1" customWidth="1"/>
    <col min="17" max="17" width="2.5546875" customWidth="1"/>
    <col min="18" max="18" width="2.33203125" customWidth="1"/>
    <col min="19" max="22" width="2.5546875" customWidth="1"/>
    <col min="23" max="23" width="2.33203125" customWidth="1"/>
    <col min="24" max="33" width="2.5546875" customWidth="1"/>
    <col min="34" max="34" width="3.88671875" customWidth="1"/>
    <col min="35" max="35" width="3.5546875" customWidth="1"/>
    <col min="36" max="36" width="3.33203125" customWidth="1"/>
    <col min="37" max="37" width="4.33203125" customWidth="1"/>
    <col min="38" max="38" width="3.5546875" customWidth="1"/>
    <col min="39" max="39" width="3.88671875" customWidth="1"/>
    <col min="40" max="40" width="3.33203125" customWidth="1"/>
    <col min="41" max="41" width="4.44140625" customWidth="1"/>
    <col min="42" max="42" width="4.33203125" customWidth="1"/>
    <col min="43" max="43" width="3.6640625" customWidth="1"/>
    <col min="44" max="44" width="2.88671875" customWidth="1"/>
    <col min="45" max="45" width="3.6640625" customWidth="1"/>
    <col min="46" max="46" width="4.88671875" bestFit="1" customWidth="1"/>
    <col min="47" max="47" width="3.44140625" customWidth="1"/>
    <col min="48" max="48" width="3.5546875" customWidth="1"/>
    <col min="49" max="49" width="3.44140625" customWidth="1"/>
    <col min="50" max="57" width="4" customWidth="1"/>
    <col min="58" max="58" width="6.44140625" customWidth="1"/>
  </cols>
  <sheetData>
    <row r="1" spans="1:60" s="25" customFormat="1" x14ac:dyDescent="0.25">
      <c r="G1" s="1" t="s">
        <v>0</v>
      </c>
      <c r="H1" s="1"/>
      <c r="I1" s="1"/>
      <c r="J1" s="1"/>
      <c r="K1" s="1"/>
      <c r="L1" s="28"/>
      <c r="M1" s="28"/>
      <c r="N1" s="28"/>
      <c r="O1" s="28"/>
      <c r="P1" s="1"/>
      <c r="Q1" s="1" t="s">
        <v>222</v>
      </c>
      <c r="R1" s="28"/>
      <c r="S1" s="28"/>
      <c r="T1" s="28"/>
      <c r="U1" s="28" t="s">
        <v>80</v>
      </c>
      <c r="V1" s="28"/>
      <c r="Y1" s="26"/>
      <c r="Z1" s="26"/>
      <c r="AA1" s="26"/>
      <c r="AB1" s="26"/>
      <c r="AC1" s="26"/>
      <c r="AD1" s="26"/>
      <c r="AE1" s="26"/>
      <c r="AF1" s="26"/>
      <c r="AG1" s="26"/>
    </row>
    <row r="2" spans="1:60" ht="15" customHeight="1" thickBot="1" x14ac:dyDescent="0.4">
      <c r="J2" s="1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BF2" s="56" t="s">
        <v>64</v>
      </c>
    </row>
    <row r="3" spans="1:60" ht="51" customHeight="1" thickBot="1" x14ac:dyDescent="0.3">
      <c r="A3" s="318" t="s">
        <v>1</v>
      </c>
      <c r="B3" s="300" t="s">
        <v>2</v>
      </c>
      <c r="C3" s="322" t="s">
        <v>3</v>
      </c>
      <c r="D3" s="304" t="s">
        <v>77</v>
      </c>
      <c r="E3" s="304" t="s">
        <v>40</v>
      </c>
      <c r="F3" s="324" t="s">
        <v>4</v>
      </c>
      <c r="G3" s="316" t="s">
        <v>5</v>
      </c>
      <c r="H3" s="316"/>
      <c r="I3" s="316"/>
      <c r="J3" s="317"/>
      <c r="K3" s="292" t="s">
        <v>46</v>
      </c>
      <c r="L3" s="293"/>
      <c r="M3" s="293"/>
      <c r="N3" s="293"/>
      <c r="O3" s="293"/>
      <c r="P3" s="293"/>
      <c r="Q3" s="293"/>
      <c r="R3" s="293"/>
      <c r="S3" s="293"/>
      <c r="T3" s="293"/>
      <c r="U3" s="293"/>
      <c r="V3" s="293"/>
      <c r="W3" s="293"/>
      <c r="X3" s="293"/>
      <c r="Y3" s="293"/>
      <c r="Z3" s="293"/>
      <c r="AA3" s="293"/>
      <c r="AB3" s="293"/>
      <c r="AC3" s="293"/>
      <c r="AD3" s="293"/>
      <c r="AE3" s="293"/>
      <c r="AF3" s="293"/>
      <c r="AG3" s="294"/>
      <c r="AH3" s="314" t="s">
        <v>56</v>
      </c>
      <c r="AI3" s="314"/>
      <c r="AJ3" s="314"/>
      <c r="AK3" s="196" t="s">
        <v>6</v>
      </c>
      <c r="AL3" s="196" t="s">
        <v>93</v>
      </c>
      <c r="AM3" s="196" t="s">
        <v>48</v>
      </c>
      <c r="AN3" s="196" t="s">
        <v>49</v>
      </c>
      <c r="AO3" s="196" t="s">
        <v>7</v>
      </c>
      <c r="AP3" s="196" t="s">
        <v>22</v>
      </c>
      <c r="AQ3" s="197" t="s">
        <v>8</v>
      </c>
      <c r="AR3" s="197" t="s">
        <v>57</v>
      </c>
      <c r="AS3" s="197" t="s">
        <v>24</v>
      </c>
      <c r="AT3" s="38" t="s">
        <v>28</v>
      </c>
      <c r="AU3" s="38" t="s">
        <v>29</v>
      </c>
      <c r="AV3" s="197" t="s">
        <v>9</v>
      </c>
      <c r="AW3" s="197" t="s">
        <v>30</v>
      </c>
      <c r="AX3" s="197" t="s">
        <v>33</v>
      </c>
      <c r="AY3" s="197" t="s">
        <v>34</v>
      </c>
      <c r="AZ3" s="197" t="s">
        <v>35</v>
      </c>
      <c r="BA3" s="197" t="s">
        <v>36</v>
      </c>
      <c r="BB3" s="197" t="s">
        <v>37</v>
      </c>
      <c r="BC3" s="39" t="s">
        <v>59</v>
      </c>
      <c r="BD3" s="39" t="s">
        <v>60</v>
      </c>
      <c r="BE3" s="95" t="s">
        <v>62</v>
      </c>
      <c r="BF3" s="91">
        <v>1</v>
      </c>
    </row>
    <row r="4" spans="1:60" ht="92.4" x14ac:dyDescent="0.25">
      <c r="A4" s="319"/>
      <c r="B4" s="301"/>
      <c r="C4" s="323"/>
      <c r="D4" s="305"/>
      <c r="E4" s="305"/>
      <c r="F4" s="325"/>
      <c r="G4" s="195" t="s">
        <v>11</v>
      </c>
      <c r="H4" s="195" t="s">
        <v>12</v>
      </c>
      <c r="I4" s="195" t="s">
        <v>13</v>
      </c>
      <c r="J4" s="16" t="s">
        <v>14</v>
      </c>
      <c r="K4" s="30" t="s">
        <v>43</v>
      </c>
      <c r="L4" s="194" t="s">
        <v>44</v>
      </c>
      <c r="M4" s="31" t="s">
        <v>45</v>
      </c>
      <c r="N4" s="193" t="s">
        <v>47</v>
      </c>
      <c r="O4" s="193" t="s">
        <v>48</v>
      </c>
      <c r="P4" s="193" t="s">
        <v>49</v>
      </c>
      <c r="Q4" s="193" t="s">
        <v>7</v>
      </c>
      <c r="R4" s="193" t="s">
        <v>22</v>
      </c>
      <c r="S4" s="193" t="s">
        <v>50</v>
      </c>
      <c r="T4" s="193" t="s">
        <v>51</v>
      </c>
      <c r="U4" s="193" t="s">
        <v>52</v>
      </c>
      <c r="V4" s="193" t="s">
        <v>53</v>
      </c>
      <c r="W4" s="193" t="s">
        <v>29</v>
      </c>
      <c r="X4" s="193" t="s">
        <v>9</v>
      </c>
      <c r="Y4" s="193" t="s">
        <v>54</v>
      </c>
      <c r="Z4" s="193" t="s">
        <v>55</v>
      </c>
      <c r="AA4" s="193" t="s">
        <v>34</v>
      </c>
      <c r="AB4" s="193" t="s">
        <v>35</v>
      </c>
      <c r="AC4" s="193" t="s">
        <v>36</v>
      </c>
      <c r="AD4" s="193" t="s">
        <v>37</v>
      </c>
      <c r="AE4" s="193" t="s">
        <v>59</v>
      </c>
      <c r="AF4" s="193" t="s">
        <v>60</v>
      </c>
      <c r="AG4" s="15" t="s">
        <v>62</v>
      </c>
      <c r="AH4" s="196" t="s">
        <v>43</v>
      </c>
      <c r="AI4" s="196" t="s">
        <v>44</v>
      </c>
      <c r="AJ4" s="196" t="s">
        <v>45</v>
      </c>
      <c r="AK4" s="196" t="s">
        <v>42</v>
      </c>
      <c r="AL4" s="196" t="s">
        <v>15</v>
      </c>
      <c r="AM4" s="196" t="s">
        <v>16</v>
      </c>
      <c r="AN4" s="196" t="s">
        <v>15</v>
      </c>
      <c r="AO4" s="196" t="s">
        <v>17</v>
      </c>
      <c r="AP4" s="196" t="s">
        <v>18</v>
      </c>
      <c r="AQ4" s="196" t="s">
        <v>23</v>
      </c>
      <c r="AR4" s="196" t="s">
        <v>19</v>
      </c>
      <c r="AS4" s="196" t="s">
        <v>25</v>
      </c>
      <c r="AT4" s="196" t="s">
        <v>92</v>
      </c>
      <c r="AU4" s="196" t="s">
        <v>31</v>
      </c>
      <c r="AV4" s="196" t="s">
        <v>32</v>
      </c>
      <c r="AW4" s="196" t="s">
        <v>27</v>
      </c>
      <c r="AX4" s="196" t="s">
        <v>96</v>
      </c>
      <c r="AY4" s="196" t="s">
        <v>20</v>
      </c>
      <c r="AZ4" s="196" t="s">
        <v>26</v>
      </c>
      <c r="BA4" s="196" t="s">
        <v>20</v>
      </c>
      <c r="BB4" s="196" t="s">
        <v>38</v>
      </c>
      <c r="BC4" s="196" t="s">
        <v>58</v>
      </c>
      <c r="BD4" s="196" t="s">
        <v>61</v>
      </c>
      <c r="BE4" s="94" t="s">
        <v>63</v>
      </c>
      <c r="BF4" s="108" t="s">
        <v>246</v>
      </c>
    </row>
    <row r="5" spans="1:60" x14ac:dyDescent="0.25">
      <c r="A5" s="20"/>
      <c r="B5" s="21" t="s">
        <v>78</v>
      </c>
      <c r="C5" s="193"/>
      <c r="D5" s="191"/>
      <c r="E5" s="192"/>
      <c r="F5" s="195"/>
      <c r="G5" s="195"/>
      <c r="H5" s="195"/>
      <c r="I5" s="195"/>
      <c r="J5" s="16"/>
      <c r="K5" s="32"/>
      <c r="L5" s="196"/>
      <c r="M5" s="3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93"/>
      <c r="AC5" s="193"/>
      <c r="AD5" s="193"/>
      <c r="AE5" s="193"/>
      <c r="AF5" s="193"/>
      <c r="AG5" s="193"/>
      <c r="AH5" s="193"/>
      <c r="AI5" s="193"/>
      <c r="AJ5" s="193"/>
      <c r="AK5" s="15"/>
      <c r="AL5" s="16"/>
      <c r="AM5" s="193"/>
      <c r="AN5" s="195"/>
      <c r="AO5" s="195"/>
      <c r="AP5" s="195"/>
      <c r="AQ5" s="195"/>
      <c r="AR5" s="195"/>
      <c r="AS5" s="195"/>
      <c r="AT5" s="195"/>
      <c r="AU5" s="195"/>
      <c r="AV5" s="195"/>
      <c r="AW5" s="195"/>
      <c r="AX5" s="195"/>
      <c r="AY5" s="195"/>
      <c r="AZ5" s="195"/>
      <c r="BA5" s="195"/>
      <c r="BB5" s="195"/>
      <c r="BC5" s="195"/>
      <c r="BD5" s="195"/>
      <c r="BE5" s="94"/>
      <c r="BF5" s="91">
        <f>SUM(BF6:BF20)</f>
        <v>0</v>
      </c>
      <c r="BG5">
        <v>0.22222222222222221</v>
      </c>
      <c r="BH5">
        <v>1050</v>
      </c>
    </row>
    <row r="6" spans="1:60" s="6" customFormat="1" ht="12" x14ac:dyDescent="0.25">
      <c r="A6" s="43"/>
      <c r="B6" s="54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88" t="str">
        <f>IF(K6&lt;&gt;"",H6*K6,"")</f>
        <v/>
      </c>
      <c r="AI6" s="88" t="str">
        <f>IF(L6&lt;&gt;"",H6*L6,"")</f>
        <v/>
      </c>
      <c r="AJ6" s="88" t="str">
        <f t="shared" ref="AJ6:AJ20" si="0">IF(M6&lt;&gt;"",M6*H6,"")</f>
        <v/>
      </c>
      <c r="AK6" s="88" t="str">
        <f xml:space="preserve"> IF(N6&lt;&gt;"", 0.05*K6+2,"")</f>
        <v/>
      </c>
      <c r="AL6" s="88" t="str">
        <f>IF(N6&lt;&gt;"",0.4*G6,"")</f>
        <v/>
      </c>
      <c r="AM6" s="88" t="str">
        <f>IF(O6="+",0.25*G6,IF(O6="+Д",G6*0.33,""))</f>
        <v/>
      </c>
      <c r="AN6" s="88"/>
      <c r="AO6" s="88" t="str">
        <f>IF(Q6&lt;&gt;"",2*G6,"")</f>
        <v/>
      </c>
      <c r="AP6" s="88" t="str">
        <f>IF(R6&lt;&gt;"",3*H6,"")</f>
        <v/>
      </c>
      <c r="AQ6" s="88"/>
      <c r="AR6" s="88"/>
      <c r="AS6" s="88"/>
      <c r="AT6" s="88" t="str">
        <f>IF(V6&lt;&gt;"",0.5*G6,"")</f>
        <v/>
      </c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>
        <f>SUM(AH6:BE6)</f>
        <v>0</v>
      </c>
    </row>
    <row r="7" spans="1:60" s="6" customFormat="1" ht="12" x14ac:dyDescent="0.25">
      <c r="A7" s="43"/>
      <c r="B7" s="54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88" t="str">
        <f t="shared" ref="AH7:AH20" si="1">IF(K7&lt;&gt;"",H7*K7,"")</f>
        <v/>
      </c>
      <c r="AI7" s="88" t="str">
        <f t="shared" ref="AI7:AI20" si="2">IF(L7&lt;&gt;"",H7*L7,"")</f>
        <v/>
      </c>
      <c r="AJ7" s="88" t="str">
        <f t="shared" si="0"/>
        <v/>
      </c>
      <c r="AK7" s="88" t="str">
        <f t="shared" ref="AK7:AK20" si="3" xml:space="preserve"> IF(N7&lt;&gt;"", 0.05*K7+2,"")</f>
        <v/>
      </c>
      <c r="AL7" s="88" t="str">
        <f t="shared" ref="AL7:AL20" si="4">IF(N7&lt;&gt;"",0.4*G7,"")</f>
        <v/>
      </c>
      <c r="AM7" s="88" t="str">
        <f t="shared" ref="AM7:AM20" si="5">IF(O7="+",0.25*G7,IF(O7="+Д",G7*0.33,""))</f>
        <v/>
      </c>
      <c r="AN7" s="88"/>
      <c r="AO7" s="88" t="str">
        <f t="shared" ref="AO7:AO20" si="6">IF(Q7&lt;&gt;"",2*G7,"")</f>
        <v/>
      </c>
      <c r="AP7" s="88" t="str">
        <f t="shared" ref="AP7:AP20" si="7">IF(R7&lt;&gt;"",3*H7,"")</f>
        <v/>
      </c>
      <c r="AQ7" s="88"/>
      <c r="AR7" s="88"/>
      <c r="AS7" s="88"/>
      <c r="AT7" s="88" t="str">
        <f t="shared" ref="AT7:AT20" si="8">IF(V7&lt;&gt;"",0.5*G7,"")</f>
        <v/>
      </c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>
        <f t="shared" ref="BF7:BF20" si="9">SUM(AH7:BE7)</f>
        <v>0</v>
      </c>
    </row>
    <row r="8" spans="1:60" s="6" customFormat="1" ht="12" x14ac:dyDescent="0.25">
      <c r="A8" s="43"/>
      <c r="B8" s="54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88" t="str">
        <f t="shared" si="1"/>
        <v/>
      </c>
      <c r="AI8" s="88" t="str">
        <f t="shared" si="2"/>
        <v/>
      </c>
      <c r="AJ8" s="88" t="str">
        <f t="shared" si="0"/>
        <v/>
      </c>
      <c r="AK8" s="88" t="str">
        <f t="shared" si="3"/>
        <v/>
      </c>
      <c r="AL8" s="88" t="str">
        <f t="shared" si="4"/>
        <v/>
      </c>
      <c r="AM8" s="88" t="str">
        <f t="shared" si="5"/>
        <v/>
      </c>
      <c r="AN8" s="88"/>
      <c r="AO8" s="88" t="str">
        <f t="shared" si="6"/>
        <v/>
      </c>
      <c r="AP8" s="88" t="str">
        <f t="shared" si="7"/>
        <v/>
      </c>
      <c r="AQ8" s="88"/>
      <c r="AR8" s="88"/>
      <c r="AS8" s="88"/>
      <c r="AT8" s="88" t="str">
        <f t="shared" si="8"/>
        <v/>
      </c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>
        <f t="shared" si="9"/>
        <v>0</v>
      </c>
    </row>
    <row r="9" spans="1:60" s="6" customFormat="1" ht="12" x14ac:dyDescent="0.25">
      <c r="A9" s="43"/>
      <c r="B9" s="5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88" t="str">
        <f t="shared" si="1"/>
        <v/>
      </c>
      <c r="AI9" s="88" t="str">
        <f t="shared" si="2"/>
        <v/>
      </c>
      <c r="AJ9" s="88" t="str">
        <f t="shared" si="0"/>
        <v/>
      </c>
      <c r="AK9" s="88" t="str">
        <f t="shared" si="3"/>
        <v/>
      </c>
      <c r="AL9" s="88" t="str">
        <f t="shared" si="4"/>
        <v/>
      </c>
      <c r="AM9" s="88" t="str">
        <f t="shared" si="5"/>
        <v/>
      </c>
      <c r="AN9" s="88"/>
      <c r="AO9" s="88" t="str">
        <f t="shared" si="6"/>
        <v/>
      </c>
      <c r="AP9" s="88" t="str">
        <f t="shared" si="7"/>
        <v/>
      </c>
      <c r="AQ9" s="88"/>
      <c r="AR9" s="88"/>
      <c r="AS9" s="88"/>
      <c r="AT9" s="88" t="str">
        <f t="shared" si="8"/>
        <v/>
      </c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>
        <f t="shared" si="9"/>
        <v>0</v>
      </c>
      <c r="BG9" s="93"/>
    </row>
    <row r="10" spans="1:60" s="6" customFormat="1" ht="12" x14ac:dyDescent="0.25">
      <c r="A10" s="43"/>
      <c r="B10" s="201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88" t="str">
        <f t="shared" si="1"/>
        <v/>
      </c>
      <c r="AI10" s="88" t="str">
        <f t="shared" si="2"/>
        <v/>
      </c>
      <c r="AJ10" s="88" t="str">
        <f t="shared" si="0"/>
        <v/>
      </c>
      <c r="AK10" s="88" t="str">
        <f t="shared" si="3"/>
        <v/>
      </c>
      <c r="AL10" s="88" t="str">
        <f t="shared" si="4"/>
        <v/>
      </c>
      <c r="AM10" s="88" t="str">
        <f t="shared" si="5"/>
        <v/>
      </c>
      <c r="AN10" s="88"/>
      <c r="AO10" s="88" t="str">
        <f t="shared" si="6"/>
        <v/>
      </c>
      <c r="AP10" s="88" t="str">
        <f t="shared" si="7"/>
        <v/>
      </c>
      <c r="AQ10" s="88"/>
      <c r="AR10" s="88"/>
      <c r="AS10" s="88"/>
      <c r="AT10" s="88" t="str">
        <f t="shared" si="8"/>
        <v/>
      </c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>
        <f t="shared" si="9"/>
        <v>0</v>
      </c>
      <c r="BG10" s="93"/>
    </row>
    <row r="11" spans="1:60" s="6" customFormat="1" ht="12" x14ac:dyDescent="0.25">
      <c r="A11" s="43"/>
      <c r="B11" s="224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88" t="str">
        <f t="shared" si="1"/>
        <v/>
      </c>
      <c r="AI11" s="88" t="str">
        <f t="shared" si="2"/>
        <v/>
      </c>
      <c r="AJ11" s="88" t="str">
        <f t="shared" si="0"/>
        <v/>
      </c>
      <c r="AK11" s="88" t="str">
        <f t="shared" si="3"/>
        <v/>
      </c>
      <c r="AL11" s="88" t="str">
        <f t="shared" si="4"/>
        <v/>
      </c>
      <c r="AM11" s="88" t="str">
        <f t="shared" si="5"/>
        <v/>
      </c>
      <c r="AN11" s="88"/>
      <c r="AO11" s="88" t="str">
        <f t="shared" si="6"/>
        <v/>
      </c>
      <c r="AP11" s="88" t="str">
        <f t="shared" si="7"/>
        <v/>
      </c>
      <c r="AQ11" s="88"/>
      <c r="AR11" s="88"/>
      <c r="AS11" s="88"/>
      <c r="AT11" s="88" t="str">
        <f t="shared" si="8"/>
        <v/>
      </c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>
        <f t="shared" si="9"/>
        <v>0</v>
      </c>
    </row>
    <row r="12" spans="1:60" s="6" customFormat="1" x14ac:dyDescent="0.25">
      <c r="A12" s="43"/>
      <c r="B12" s="54"/>
      <c r="C12" s="43"/>
      <c r="D12" s="43"/>
      <c r="E12" s="43"/>
      <c r="F12" s="247"/>
      <c r="G12" s="251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 t="str">
        <f t="shared" si="1"/>
        <v/>
      </c>
      <c r="AI12" s="88" t="str">
        <f t="shared" si="2"/>
        <v/>
      </c>
      <c r="AJ12" s="88" t="str">
        <f t="shared" si="0"/>
        <v/>
      </c>
      <c r="AK12" s="88" t="str">
        <f t="shared" si="3"/>
        <v/>
      </c>
      <c r="AL12" s="88" t="str">
        <f t="shared" si="4"/>
        <v/>
      </c>
      <c r="AM12" s="88" t="str">
        <f t="shared" si="5"/>
        <v/>
      </c>
      <c r="AN12" s="88"/>
      <c r="AO12" s="88" t="str">
        <f t="shared" si="6"/>
        <v/>
      </c>
      <c r="AP12" s="88" t="str">
        <f t="shared" si="7"/>
        <v/>
      </c>
      <c r="AQ12" s="88"/>
      <c r="AR12" s="88"/>
      <c r="AS12" s="88"/>
      <c r="AT12" s="88" t="str">
        <f t="shared" si="8"/>
        <v/>
      </c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>
        <f t="shared" si="9"/>
        <v>0</v>
      </c>
    </row>
    <row r="13" spans="1:60" s="6" customFormat="1" x14ac:dyDescent="0.25">
      <c r="A13" s="43"/>
      <c r="B13" s="201"/>
      <c r="C13" s="43"/>
      <c r="D13" s="43"/>
      <c r="E13" s="43"/>
      <c r="F13" s="247"/>
      <c r="G13" s="251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 t="str">
        <f t="shared" si="1"/>
        <v/>
      </c>
      <c r="AI13" s="88" t="str">
        <f t="shared" si="2"/>
        <v/>
      </c>
      <c r="AJ13" s="88" t="str">
        <f t="shared" si="0"/>
        <v/>
      </c>
      <c r="AK13" s="88" t="str">
        <f t="shared" si="3"/>
        <v/>
      </c>
      <c r="AL13" s="88" t="str">
        <f t="shared" si="4"/>
        <v/>
      </c>
      <c r="AM13" s="88" t="str">
        <f t="shared" si="5"/>
        <v/>
      </c>
      <c r="AN13" s="88"/>
      <c r="AO13" s="88" t="str">
        <f t="shared" si="6"/>
        <v/>
      </c>
      <c r="AP13" s="88" t="str">
        <f t="shared" si="7"/>
        <v/>
      </c>
      <c r="AQ13" s="88"/>
      <c r="AR13" s="88"/>
      <c r="AS13" s="88"/>
      <c r="AT13" s="88" t="str">
        <f t="shared" si="8"/>
        <v/>
      </c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>
        <f t="shared" si="9"/>
        <v>0</v>
      </c>
    </row>
    <row r="14" spans="1:60" s="6" customFormat="1" x14ac:dyDescent="0.25">
      <c r="A14" s="43"/>
      <c r="B14" s="54"/>
      <c r="C14" s="43"/>
      <c r="D14" s="43"/>
      <c r="E14" s="43"/>
      <c r="F14" s="247"/>
      <c r="G14" s="251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 t="str">
        <f t="shared" si="1"/>
        <v/>
      </c>
      <c r="AI14" s="88" t="str">
        <f t="shared" si="2"/>
        <v/>
      </c>
      <c r="AJ14" s="88" t="str">
        <f t="shared" si="0"/>
        <v/>
      </c>
      <c r="AK14" s="88" t="str">
        <f t="shared" si="3"/>
        <v/>
      </c>
      <c r="AL14" s="88" t="str">
        <f t="shared" si="4"/>
        <v/>
      </c>
      <c r="AM14" s="88" t="str">
        <f t="shared" si="5"/>
        <v/>
      </c>
      <c r="AN14" s="88"/>
      <c r="AO14" s="88" t="str">
        <f t="shared" si="6"/>
        <v/>
      </c>
      <c r="AP14" s="88" t="str">
        <f t="shared" si="7"/>
        <v/>
      </c>
      <c r="AQ14" s="88"/>
      <c r="AR14" s="88"/>
      <c r="AS14" s="88"/>
      <c r="AT14" s="88" t="str">
        <f t="shared" si="8"/>
        <v/>
      </c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>
        <f t="shared" si="9"/>
        <v>0</v>
      </c>
    </row>
    <row r="15" spans="1:60" s="6" customFormat="1" x14ac:dyDescent="0.25">
      <c r="A15" s="43"/>
      <c r="B15" s="54"/>
      <c r="C15" s="43"/>
      <c r="D15" s="43"/>
      <c r="E15" s="43"/>
      <c r="F15" s="248"/>
      <c r="G15" s="251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 t="str">
        <f t="shared" si="1"/>
        <v/>
      </c>
      <c r="AI15" s="88" t="str">
        <f t="shared" si="2"/>
        <v/>
      </c>
      <c r="AJ15" s="88" t="str">
        <f t="shared" si="0"/>
        <v/>
      </c>
      <c r="AK15" s="88" t="str">
        <f t="shared" si="3"/>
        <v/>
      </c>
      <c r="AL15" s="88" t="str">
        <f t="shared" si="4"/>
        <v/>
      </c>
      <c r="AM15" s="88" t="str">
        <f t="shared" si="5"/>
        <v/>
      </c>
      <c r="AN15" s="88"/>
      <c r="AO15" s="88" t="str">
        <f t="shared" si="6"/>
        <v/>
      </c>
      <c r="AP15" s="88" t="str">
        <f t="shared" si="7"/>
        <v/>
      </c>
      <c r="AQ15" s="88"/>
      <c r="AR15" s="88"/>
      <c r="AS15" s="88"/>
      <c r="AT15" s="88" t="str">
        <f t="shared" si="8"/>
        <v/>
      </c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>
        <f t="shared" si="9"/>
        <v>0</v>
      </c>
    </row>
    <row r="16" spans="1:60" s="6" customFormat="1" ht="12" x14ac:dyDescent="0.25">
      <c r="A16" s="43"/>
      <c r="B16" s="228"/>
      <c r="C16" s="43"/>
      <c r="D16" s="43"/>
      <c r="E16" s="43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 t="str">
        <f t="shared" si="1"/>
        <v/>
      </c>
      <c r="AI16" s="88" t="str">
        <f t="shared" si="2"/>
        <v/>
      </c>
      <c r="AJ16" s="88" t="str">
        <f t="shared" si="0"/>
        <v/>
      </c>
      <c r="AK16" s="88" t="str">
        <f t="shared" si="3"/>
        <v/>
      </c>
      <c r="AL16" s="88" t="str">
        <f t="shared" si="4"/>
        <v/>
      </c>
      <c r="AM16" s="88" t="str">
        <f t="shared" si="5"/>
        <v/>
      </c>
      <c r="AN16" s="88"/>
      <c r="AO16" s="88" t="str">
        <f t="shared" si="6"/>
        <v/>
      </c>
      <c r="AP16" s="88" t="str">
        <f t="shared" si="7"/>
        <v/>
      </c>
      <c r="AQ16" s="88"/>
      <c r="AR16" s="88"/>
      <c r="AS16" s="88"/>
      <c r="AT16" s="88" t="str">
        <f t="shared" si="8"/>
        <v/>
      </c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>
        <f t="shared" si="9"/>
        <v>0</v>
      </c>
    </row>
    <row r="17" spans="1:212" x14ac:dyDescent="0.25">
      <c r="A17" s="43"/>
      <c r="B17" s="201"/>
      <c r="C17" s="43"/>
      <c r="D17" s="43"/>
      <c r="E17" s="43"/>
      <c r="F17" s="88"/>
      <c r="G17" s="88"/>
      <c r="H17" s="88"/>
      <c r="I17" s="88"/>
      <c r="J17" s="88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88"/>
      <c r="AB17" s="88"/>
      <c r="AC17" s="88"/>
      <c r="AD17" s="88"/>
      <c r="AE17" s="88"/>
      <c r="AF17" s="88"/>
      <c r="AG17" s="88"/>
      <c r="AH17" s="88" t="str">
        <f t="shared" si="1"/>
        <v/>
      </c>
      <c r="AI17" s="88" t="str">
        <f t="shared" si="2"/>
        <v/>
      </c>
      <c r="AJ17" s="88" t="str">
        <f t="shared" si="0"/>
        <v/>
      </c>
      <c r="AK17" s="88" t="str">
        <f t="shared" si="3"/>
        <v/>
      </c>
      <c r="AL17" s="88" t="str">
        <f t="shared" si="4"/>
        <v/>
      </c>
      <c r="AM17" s="88" t="str">
        <f t="shared" si="5"/>
        <v/>
      </c>
      <c r="AN17" s="88"/>
      <c r="AO17" s="88" t="str">
        <f t="shared" si="6"/>
        <v/>
      </c>
      <c r="AP17" s="88" t="str">
        <f t="shared" si="7"/>
        <v/>
      </c>
      <c r="AQ17" s="88"/>
      <c r="AR17" s="88"/>
      <c r="AS17" s="88"/>
      <c r="AT17" s="88" t="str">
        <f t="shared" si="8"/>
        <v/>
      </c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>
        <f t="shared" si="9"/>
        <v>0</v>
      </c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  <c r="EH17" s="98"/>
      <c r="EI17" s="98"/>
      <c r="EJ17" s="98"/>
      <c r="EK17" s="98"/>
      <c r="EL17" s="98"/>
      <c r="EM17" s="98"/>
      <c r="EN17" s="98"/>
      <c r="EO17" s="98"/>
      <c r="EP17" s="98"/>
      <c r="EQ17" s="98"/>
      <c r="ER17" s="98"/>
      <c r="ES17" s="98"/>
      <c r="ET17" s="98"/>
      <c r="EU17" s="98"/>
      <c r="EV17" s="98"/>
      <c r="EW17" s="98"/>
      <c r="EX17" s="98"/>
      <c r="EY17" s="98"/>
      <c r="EZ17" s="98"/>
      <c r="FA17" s="98"/>
      <c r="FB17" s="98"/>
      <c r="FC17" s="98"/>
      <c r="FD17" s="98"/>
      <c r="FE17" s="98"/>
      <c r="FF17" s="98"/>
      <c r="FG17" s="98"/>
      <c r="FH17" s="98"/>
      <c r="FI17" s="98"/>
      <c r="FJ17" s="98"/>
      <c r="FK17" s="98"/>
      <c r="FL17" s="98"/>
      <c r="FM17" s="98"/>
      <c r="FN17" s="98"/>
      <c r="FO17" s="98"/>
      <c r="FP17" s="98"/>
      <c r="FQ17" s="98"/>
      <c r="FR17" s="98"/>
      <c r="FS17" s="98"/>
      <c r="FT17" s="98"/>
      <c r="FU17" s="98"/>
      <c r="FV17" s="98"/>
      <c r="FW17" s="98"/>
      <c r="FX17" s="98"/>
      <c r="FY17" s="98"/>
      <c r="FZ17" s="98"/>
      <c r="GA17" s="98"/>
      <c r="GB17" s="98"/>
      <c r="GC17" s="98"/>
      <c r="GD17" s="98"/>
      <c r="GE17" s="98"/>
      <c r="GF17" s="98"/>
      <c r="GG17" s="98"/>
      <c r="GH17" s="98"/>
      <c r="GI17" s="98"/>
      <c r="GJ17" s="98"/>
      <c r="GK17" s="98"/>
      <c r="GL17" s="98"/>
      <c r="GM17" s="98"/>
      <c r="GN17" s="98"/>
      <c r="GO17" s="98"/>
      <c r="GP17" s="98"/>
      <c r="GQ17" s="98"/>
      <c r="GR17" s="98"/>
      <c r="GS17" s="98"/>
      <c r="GT17" s="98"/>
      <c r="GU17" s="98"/>
      <c r="GV17" s="98"/>
      <c r="GW17" s="98"/>
      <c r="GX17" s="98"/>
      <c r="GY17" s="98"/>
      <c r="GZ17" s="98"/>
      <c r="HA17" s="98"/>
      <c r="HB17" s="98"/>
      <c r="HC17" s="98"/>
      <c r="HD17" s="98"/>
    </row>
    <row r="18" spans="1:212" x14ac:dyDescent="0.25">
      <c r="A18" s="43"/>
      <c r="B18" s="228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88" t="str">
        <f t="shared" si="1"/>
        <v/>
      </c>
      <c r="AI18" s="88" t="str">
        <f t="shared" si="2"/>
        <v/>
      </c>
      <c r="AJ18" s="88" t="str">
        <f t="shared" si="0"/>
        <v/>
      </c>
      <c r="AK18" s="88" t="str">
        <f t="shared" si="3"/>
        <v/>
      </c>
      <c r="AL18" s="88" t="str">
        <f t="shared" si="4"/>
        <v/>
      </c>
      <c r="AM18" s="88" t="str">
        <f t="shared" si="5"/>
        <v/>
      </c>
      <c r="AN18" s="88"/>
      <c r="AO18" s="88" t="str">
        <f t="shared" si="6"/>
        <v/>
      </c>
      <c r="AP18" s="88" t="str">
        <f t="shared" si="7"/>
        <v/>
      </c>
      <c r="AQ18" s="88"/>
      <c r="AR18" s="88"/>
      <c r="AS18" s="88"/>
      <c r="AT18" s="88" t="str">
        <f t="shared" si="8"/>
        <v/>
      </c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>
        <f t="shared" si="9"/>
        <v>0</v>
      </c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</row>
    <row r="19" spans="1:212" s="65" customFormat="1" x14ac:dyDescent="0.25">
      <c r="A19" s="43"/>
      <c r="B19" s="228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88" t="str">
        <f t="shared" si="1"/>
        <v/>
      </c>
      <c r="AI19" s="88" t="str">
        <f t="shared" si="2"/>
        <v/>
      </c>
      <c r="AJ19" s="88" t="str">
        <f t="shared" si="0"/>
        <v/>
      </c>
      <c r="AK19" s="88" t="str">
        <f t="shared" si="3"/>
        <v/>
      </c>
      <c r="AL19" s="88" t="str">
        <f t="shared" si="4"/>
        <v/>
      </c>
      <c r="AM19" s="88" t="str">
        <f t="shared" si="5"/>
        <v/>
      </c>
      <c r="AN19" s="88"/>
      <c r="AO19" s="88" t="str">
        <f t="shared" si="6"/>
        <v/>
      </c>
      <c r="AP19" s="88" t="str">
        <f t="shared" si="7"/>
        <v/>
      </c>
      <c r="AQ19" s="88"/>
      <c r="AR19" s="88"/>
      <c r="AS19" s="88"/>
      <c r="AT19" s="88" t="str">
        <f t="shared" si="8"/>
        <v/>
      </c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>
        <f t="shared" si="9"/>
        <v>0</v>
      </c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</row>
    <row r="20" spans="1:212" x14ac:dyDescent="0.25">
      <c r="A20" s="43"/>
      <c r="B20" s="228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88" t="str">
        <f t="shared" si="1"/>
        <v/>
      </c>
      <c r="AI20" s="88" t="str">
        <f t="shared" si="2"/>
        <v/>
      </c>
      <c r="AJ20" s="88" t="str">
        <f t="shared" si="0"/>
        <v/>
      </c>
      <c r="AK20" s="88" t="str">
        <f t="shared" si="3"/>
        <v/>
      </c>
      <c r="AL20" s="88" t="str">
        <f t="shared" si="4"/>
        <v/>
      </c>
      <c r="AM20" s="88" t="str">
        <f t="shared" si="5"/>
        <v/>
      </c>
      <c r="AN20" s="88"/>
      <c r="AO20" s="88" t="str">
        <f t="shared" si="6"/>
        <v/>
      </c>
      <c r="AP20" s="88" t="str">
        <f t="shared" si="7"/>
        <v/>
      </c>
      <c r="AQ20" s="88"/>
      <c r="AR20" s="88"/>
      <c r="AS20" s="88"/>
      <c r="AT20" s="88" t="str">
        <f t="shared" si="8"/>
        <v/>
      </c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>
        <f t="shared" si="9"/>
        <v>0</v>
      </c>
    </row>
  </sheetData>
  <mergeCells count="9">
    <mergeCell ref="G3:J3"/>
    <mergeCell ref="K3:AG3"/>
    <mergeCell ref="AH3:AJ3"/>
    <mergeCell ref="A3:A4"/>
    <mergeCell ref="B3:B4"/>
    <mergeCell ref="C3:C4"/>
    <mergeCell ref="D3:D4"/>
    <mergeCell ref="E3:E4"/>
    <mergeCell ref="F3:F4"/>
  </mergeCells>
  <phoneticPr fontId="4" type="noConversion"/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8"/>
  <dimension ref="A1:D17"/>
  <sheetViews>
    <sheetView workbookViewId="0">
      <selection activeCell="D14" sqref="D14"/>
    </sheetView>
  </sheetViews>
  <sheetFormatPr defaultRowHeight="13.2" x14ac:dyDescent="0.25"/>
  <cols>
    <col min="1" max="1" width="5.6640625" bestFit="1" customWidth="1"/>
    <col min="2" max="2" width="14.109375" bestFit="1" customWidth="1"/>
    <col min="3" max="3" width="5.109375" bestFit="1" customWidth="1"/>
    <col min="4" max="4" width="16" bestFit="1" customWidth="1"/>
  </cols>
  <sheetData>
    <row r="1" spans="1:4" ht="13.8" thickBot="1" x14ac:dyDescent="0.3">
      <c r="A1" s="10" t="s">
        <v>70</v>
      </c>
      <c r="B1" s="11" t="s">
        <v>67</v>
      </c>
      <c r="C1" s="11" t="s">
        <v>68</v>
      </c>
      <c r="D1" s="12" t="s">
        <v>69</v>
      </c>
    </row>
    <row r="2" spans="1:4" x14ac:dyDescent="0.25">
      <c r="A2" t="s">
        <v>212</v>
      </c>
      <c r="B2" t="s">
        <v>205</v>
      </c>
      <c r="C2">
        <v>1</v>
      </c>
      <c r="D2">
        <v>15</v>
      </c>
    </row>
    <row r="3" spans="1:4" x14ac:dyDescent="0.25">
      <c r="A3" t="s">
        <v>90</v>
      </c>
      <c r="B3" t="s">
        <v>74</v>
      </c>
      <c r="C3">
        <v>1</v>
      </c>
      <c r="D3">
        <v>30</v>
      </c>
    </row>
    <row r="4" spans="1:4" x14ac:dyDescent="0.25">
      <c r="A4" t="s">
        <v>90</v>
      </c>
      <c r="B4" t="s">
        <v>204</v>
      </c>
      <c r="C4">
        <v>1</v>
      </c>
      <c r="D4">
        <v>30</v>
      </c>
    </row>
    <row r="6" spans="1:4" x14ac:dyDescent="0.25">
      <c r="A6" t="s">
        <v>212</v>
      </c>
      <c r="B6" t="s">
        <v>205</v>
      </c>
      <c r="C6">
        <v>2</v>
      </c>
      <c r="D6">
        <v>15</v>
      </c>
    </row>
    <row r="7" spans="1:4" x14ac:dyDescent="0.25">
      <c r="A7" t="s">
        <v>90</v>
      </c>
      <c r="B7" t="s">
        <v>74</v>
      </c>
      <c r="C7">
        <v>2</v>
      </c>
      <c r="D7">
        <v>27</v>
      </c>
    </row>
    <row r="8" spans="1:4" x14ac:dyDescent="0.25">
      <c r="A8" t="s">
        <v>90</v>
      </c>
      <c r="B8" t="s">
        <v>204</v>
      </c>
      <c r="C8">
        <v>2</v>
      </c>
      <c r="D8">
        <v>27</v>
      </c>
    </row>
    <row r="10" spans="1:4" x14ac:dyDescent="0.25">
      <c r="A10" t="s">
        <v>212</v>
      </c>
      <c r="B10" t="s">
        <v>205</v>
      </c>
      <c r="C10">
        <v>3</v>
      </c>
      <c r="D10">
        <v>11</v>
      </c>
    </row>
    <row r="11" spans="1:4" x14ac:dyDescent="0.25">
      <c r="A11" t="s">
        <v>90</v>
      </c>
      <c r="B11" t="s">
        <v>74</v>
      </c>
      <c r="C11">
        <v>3</v>
      </c>
      <c r="D11">
        <v>27</v>
      </c>
    </row>
    <row r="13" spans="1:4" x14ac:dyDescent="0.25">
      <c r="A13" t="s">
        <v>212</v>
      </c>
      <c r="B13" t="s">
        <v>205</v>
      </c>
      <c r="C13">
        <v>4</v>
      </c>
      <c r="D13">
        <v>14</v>
      </c>
    </row>
    <row r="15" spans="1:4" x14ac:dyDescent="0.25">
      <c r="B15" t="s">
        <v>226</v>
      </c>
    </row>
    <row r="16" spans="1:4" x14ac:dyDescent="0.25">
      <c r="A16" t="s">
        <v>212</v>
      </c>
      <c r="B16" t="s">
        <v>205</v>
      </c>
      <c r="C16">
        <v>1</v>
      </c>
      <c r="D16">
        <v>7</v>
      </c>
    </row>
    <row r="17" spans="1:4" x14ac:dyDescent="0.25">
      <c r="A17" t="s">
        <v>212</v>
      </c>
      <c r="B17" t="s">
        <v>205</v>
      </c>
      <c r="C17">
        <v>2</v>
      </c>
      <c r="D17">
        <v>5</v>
      </c>
    </row>
  </sheetData>
  <phoneticPr fontId="4" type="noConversion"/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BR11"/>
  <sheetViews>
    <sheetView workbookViewId="0">
      <selection activeCell="B16" sqref="B16"/>
    </sheetView>
  </sheetViews>
  <sheetFormatPr defaultRowHeight="13.2" x14ac:dyDescent="0.25"/>
  <cols>
    <col min="2" max="2" width="38.109375" bestFit="1" customWidth="1"/>
    <col min="3" max="3" width="5.88671875" bestFit="1" customWidth="1"/>
    <col min="4" max="4" width="3.33203125" bestFit="1" customWidth="1"/>
    <col min="5" max="5" width="1.88671875" bestFit="1" customWidth="1"/>
    <col min="6" max="6" width="3" bestFit="1" customWidth="1"/>
    <col min="7" max="36" width="2.88671875" bestFit="1" customWidth="1"/>
    <col min="37" max="39" width="3.5546875" bestFit="1" customWidth="1"/>
    <col min="40" max="45" width="2.88671875" bestFit="1" customWidth="1"/>
    <col min="46" max="46" width="4.88671875" bestFit="1" customWidth="1"/>
    <col min="47" max="54" width="2.88671875" bestFit="1" customWidth="1"/>
    <col min="55" max="57" width="4.88671875" bestFit="1" customWidth="1"/>
    <col min="58" max="58" width="5.33203125" bestFit="1" customWidth="1"/>
    <col min="59" max="59" width="2.33203125" bestFit="1" customWidth="1"/>
    <col min="60" max="60" width="2.6640625" bestFit="1" customWidth="1"/>
    <col min="61" max="61" width="2.88671875" bestFit="1" customWidth="1"/>
    <col min="62" max="62" width="3.5546875" bestFit="1" customWidth="1"/>
    <col min="63" max="63" width="2.88671875" bestFit="1" customWidth="1"/>
    <col min="64" max="64" width="5.33203125" bestFit="1" customWidth="1"/>
    <col min="65" max="68" width="2.88671875" bestFit="1" customWidth="1"/>
    <col min="69" max="69" width="5" bestFit="1" customWidth="1"/>
    <col min="70" max="70" width="2.88671875" bestFit="1" customWidth="1"/>
  </cols>
  <sheetData>
    <row r="1" spans="1:70" ht="51" customHeight="1" thickBot="1" x14ac:dyDescent="0.3">
      <c r="A1" s="298" t="s">
        <v>1</v>
      </c>
      <c r="B1" s="300" t="s">
        <v>2</v>
      </c>
      <c r="C1" s="302" t="s">
        <v>3</v>
      </c>
      <c r="D1" s="304" t="s">
        <v>77</v>
      </c>
      <c r="E1" s="304" t="s">
        <v>40</v>
      </c>
      <c r="F1" s="304" t="s">
        <v>4</v>
      </c>
      <c r="G1" s="289" t="s">
        <v>5</v>
      </c>
      <c r="H1" s="290"/>
      <c r="I1" s="290"/>
      <c r="J1" s="291"/>
      <c r="K1" s="292" t="s">
        <v>46</v>
      </c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  <c r="AC1" s="293"/>
      <c r="AD1" s="293"/>
      <c r="AE1" s="293"/>
      <c r="AF1" s="293"/>
      <c r="AG1" s="294"/>
      <c r="AH1" s="295" t="s">
        <v>56</v>
      </c>
      <c r="AI1" s="296"/>
      <c r="AJ1" s="297"/>
      <c r="AK1" s="5" t="s">
        <v>6</v>
      </c>
      <c r="AL1" s="5" t="s">
        <v>93</v>
      </c>
      <c r="AM1" s="5" t="s">
        <v>48</v>
      </c>
      <c r="AN1" s="5" t="s">
        <v>49</v>
      </c>
      <c r="AO1" s="5" t="s">
        <v>7</v>
      </c>
      <c r="AP1" s="5" t="s">
        <v>22</v>
      </c>
      <c r="AQ1" s="4" t="s">
        <v>8</v>
      </c>
      <c r="AR1" s="4" t="s">
        <v>57</v>
      </c>
      <c r="AS1" s="4" t="s">
        <v>24</v>
      </c>
      <c r="AT1" s="38" t="s">
        <v>28</v>
      </c>
      <c r="AU1" s="38" t="s">
        <v>29</v>
      </c>
      <c r="AV1" s="4" t="s">
        <v>9</v>
      </c>
      <c r="AW1" s="4" t="s">
        <v>30</v>
      </c>
      <c r="AX1" s="4" t="s">
        <v>33</v>
      </c>
      <c r="AY1" s="4" t="s">
        <v>34</v>
      </c>
      <c r="AZ1" s="4" t="s">
        <v>35</v>
      </c>
      <c r="BA1" s="4" t="s">
        <v>36</v>
      </c>
      <c r="BB1" s="4" t="s">
        <v>37</v>
      </c>
      <c r="BC1" s="39" t="s">
        <v>59</v>
      </c>
      <c r="BD1" s="39" t="s">
        <v>60</v>
      </c>
      <c r="BE1" s="39" t="s">
        <v>62</v>
      </c>
      <c r="BF1" s="306" t="s">
        <v>10</v>
      </c>
      <c r="BG1" s="96"/>
      <c r="BH1" s="96"/>
      <c r="BI1" s="101">
        <v>1</v>
      </c>
      <c r="BJ1" s="101">
        <v>0.5</v>
      </c>
      <c r="BK1" s="101">
        <v>1</v>
      </c>
      <c r="BL1" s="101">
        <v>1</v>
      </c>
      <c r="BM1" s="101">
        <v>0.5</v>
      </c>
      <c r="BN1" s="101">
        <v>0.5</v>
      </c>
      <c r="BO1" s="101">
        <v>0.5</v>
      </c>
      <c r="BP1" s="101">
        <v>0.5</v>
      </c>
      <c r="BQ1" s="102"/>
    </row>
    <row r="2" spans="1:70" ht="92.4" x14ac:dyDescent="0.25">
      <c r="A2" s="299"/>
      <c r="B2" s="301"/>
      <c r="C2" s="303"/>
      <c r="D2" s="305"/>
      <c r="E2" s="305"/>
      <c r="F2" s="305"/>
      <c r="G2" s="14" t="s">
        <v>11</v>
      </c>
      <c r="H2" s="14" t="s">
        <v>12</v>
      </c>
      <c r="I2" s="14" t="s">
        <v>13</v>
      </c>
      <c r="J2" s="16" t="s">
        <v>14</v>
      </c>
      <c r="K2" s="30" t="s">
        <v>43</v>
      </c>
      <c r="L2" s="24" t="s">
        <v>44</v>
      </c>
      <c r="M2" s="31" t="s">
        <v>45</v>
      </c>
      <c r="N2" s="7" t="s">
        <v>47</v>
      </c>
      <c r="O2" s="7" t="s">
        <v>48</v>
      </c>
      <c r="P2" s="7" t="s">
        <v>49</v>
      </c>
      <c r="Q2" s="7" t="s">
        <v>7</v>
      </c>
      <c r="R2" s="7" t="s">
        <v>22</v>
      </c>
      <c r="S2" s="7" t="s">
        <v>50</v>
      </c>
      <c r="T2" s="7" t="s">
        <v>51</v>
      </c>
      <c r="U2" s="7" t="s">
        <v>52</v>
      </c>
      <c r="V2" s="7" t="s">
        <v>53</v>
      </c>
      <c r="W2" s="7" t="s">
        <v>29</v>
      </c>
      <c r="X2" s="7" t="s">
        <v>9</v>
      </c>
      <c r="Y2" s="7" t="s">
        <v>54</v>
      </c>
      <c r="Z2" s="7" t="s">
        <v>55</v>
      </c>
      <c r="AA2" s="7" t="s">
        <v>34</v>
      </c>
      <c r="AB2" s="7" t="s">
        <v>35</v>
      </c>
      <c r="AC2" s="7" t="s">
        <v>36</v>
      </c>
      <c r="AD2" s="7" t="s">
        <v>37</v>
      </c>
      <c r="AE2" s="7" t="s">
        <v>59</v>
      </c>
      <c r="AF2" s="7" t="s">
        <v>60</v>
      </c>
      <c r="AG2" s="15" t="s">
        <v>62</v>
      </c>
      <c r="AH2" s="5" t="s">
        <v>43</v>
      </c>
      <c r="AI2" s="5" t="s">
        <v>44</v>
      </c>
      <c r="AJ2" s="5" t="s">
        <v>45</v>
      </c>
      <c r="AK2" s="5" t="s">
        <v>42</v>
      </c>
      <c r="AL2" s="5" t="s">
        <v>15</v>
      </c>
      <c r="AM2" s="5" t="s">
        <v>16</v>
      </c>
      <c r="AN2" s="5" t="s">
        <v>15</v>
      </c>
      <c r="AO2" s="5" t="s">
        <v>17</v>
      </c>
      <c r="AP2" s="5" t="s">
        <v>18</v>
      </c>
      <c r="AQ2" s="5" t="s">
        <v>23</v>
      </c>
      <c r="AR2" s="5" t="s">
        <v>19</v>
      </c>
      <c r="AS2" s="5" t="s">
        <v>25</v>
      </c>
      <c r="AT2" s="5" t="s">
        <v>92</v>
      </c>
      <c r="AU2" s="5" t="s">
        <v>31</v>
      </c>
      <c r="AV2" s="5" t="s">
        <v>32</v>
      </c>
      <c r="AW2" s="5" t="s">
        <v>27</v>
      </c>
      <c r="AX2" s="5" t="s">
        <v>96</v>
      </c>
      <c r="AY2" s="5" t="s">
        <v>20</v>
      </c>
      <c r="AZ2" s="5" t="s">
        <v>26</v>
      </c>
      <c r="BA2" s="5" t="s">
        <v>20</v>
      </c>
      <c r="BB2" s="5" t="s">
        <v>38</v>
      </c>
      <c r="BC2" s="5" t="s">
        <v>58</v>
      </c>
      <c r="BD2" s="5" t="s">
        <v>61</v>
      </c>
      <c r="BE2" s="5" t="s">
        <v>63</v>
      </c>
      <c r="BF2" s="307"/>
      <c r="BG2" s="97" t="s">
        <v>185</v>
      </c>
      <c r="BH2" s="96" t="s">
        <v>112</v>
      </c>
      <c r="BI2" s="103" t="s">
        <v>76</v>
      </c>
      <c r="BJ2" s="104" t="s">
        <v>189</v>
      </c>
      <c r="BK2" s="104" t="s">
        <v>98</v>
      </c>
      <c r="BL2" s="104" t="s">
        <v>188</v>
      </c>
      <c r="BM2" s="105" t="s">
        <v>97</v>
      </c>
      <c r="BN2" s="104" t="s">
        <v>104</v>
      </c>
      <c r="BO2" s="104" t="s">
        <v>201</v>
      </c>
      <c r="BP2" s="104" t="s">
        <v>190</v>
      </c>
      <c r="BQ2" s="106" t="s">
        <v>21</v>
      </c>
      <c r="BR2" s="17" t="s">
        <v>72</v>
      </c>
    </row>
    <row r="3" spans="1:70" ht="49.2" x14ac:dyDescent="0.25">
      <c r="A3" s="124"/>
      <c r="B3" s="128" t="s">
        <v>203</v>
      </c>
      <c r="C3" s="125"/>
      <c r="D3" s="22"/>
      <c r="E3" s="22"/>
      <c r="F3" s="22"/>
      <c r="G3" s="14"/>
      <c r="H3" s="14"/>
      <c r="I3" s="14"/>
      <c r="J3" s="16"/>
      <c r="K3" s="112"/>
      <c r="L3" s="22"/>
      <c r="M3" s="126"/>
      <c r="N3" s="7"/>
      <c r="O3" s="12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1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109">
        <f>SUM(BF4:BF7)</f>
        <v>251.39999999999998</v>
      </c>
      <c r="BG3" s="97"/>
      <c r="BH3" s="96"/>
      <c r="BI3" s="131"/>
      <c r="BJ3" s="104"/>
      <c r="BK3" s="104"/>
      <c r="BL3" s="104"/>
      <c r="BM3" s="105"/>
      <c r="BN3" s="104"/>
      <c r="BO3" s="104"/>
      <c r="BP3" s="104"/>
      <c r="BQ3" s="106"/>
      <c r="BR3" s="127"/>
    </row>
    <row r="4" spans="1:70" s="6" customFormat="1" ht="12" x14ac:dyDescent="0.25">
      <c r="A4" s="113">
        <v>10</v>
      </c>
      <c r="B4" s="114" t="s">
        <v>83</v>
      </c>
      <c r="C4" s="115" t="s">
        <v>39</v>
      </c>
      <c r="D4" s="36" t="s">
        <v>71</v>
      </c>
      <c r="E4" s="36" t="s">
        <v>41</v>
      </c>
      <c r="F4" s="36">
        <v>4</v>
      </c>
      <c r="G4" s="36">
        <v>22</v>
      </c>
      <c r="H4" s="36">
        <v>17</v>
      </c>
      <c r="I4" s="36">
        <v>1</v>
      </c>
      <c r="J4" s="37">
        <v>1</v>
      </c>
      <c r="K4" s="116">
        <v>2</v>
      </c>
      <c r="L4" s="36">
        <v>1</v>
      </c>
      <c r="M4" s="117">
        <v>2</v>
      </c>
      <c r="N4" s="34"/>
      <c r="O4" s="36">
        <v>1</v>
      </c>
      <c r="P4" s="36"/>
      <c r="Q4" s="36">
        <v>1</v>
      </c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5">
        <v>34</v>
      </c>
      <c r="AI4" s="35">
        <v>17</v>
      </c>
      <c r="AJ4" s="35">
        <v>34</v>
      </c>
      <c r="AK4" s="35">
        <v>1.7</v>
      </c>
      <c r="AL4" s="35" t="s">
        <v>102</v>
      </c>
      <c r="AM4" s="35">
        <v>5.5</v>
      </c>
      <c r="AN4" s="35" t="s">
        <v>102</v>
      </c>
      <c r="AO4" s="35">
        <v>44</v>
      </c>
      <c r="AP4" s="35" t="s">
        <v>102</v>
      </c>
      <c r="AQ4" s="35" t="s">
        <v>102</v>
      </c>
      <c r="AR4" s="35" t="s">
        <v>102</v>
      </c>
      <c r="AS4" s="35" t="s">
        <v>102</v>
      </c>
      <c r="AT4" s="35" t="s">
        <v>102</v>
      </c>
      <c r="AU4" s="35" t="s">
        <v>102</v>
      </c>
      <c r="AV4" s="35" t="s">
        <v>102</v>
      </c>
      <c r="AW4" s="35" t="s">
        <v>102</v>
      </c>
      <c r="AX4" s="35" t="s">
        <v>102</v>
      </c>
      <c r="AY4" s="35" t="s">
        <v>102</v>
      </c>
      <c r="AZ4" s="35" t="s">
        <v>102</v>
      </c>
      <c r="BA4" s="35" t="s">
        <v>102</v>
      </c>
      <c r="BB4" s="35" t="s">
        <v>102</v>
      </c>
      <c r="BC4" s="35" t="s">
        <v>102</v>
      </c>
      <c r="BD4" s="35" t="s">
        <v>102</v>
      </c>
      <c r="BE4" s="35" t="s">
        <v>102</v>
      </c>
      <c r="BF4" s="19">
        <f>SUM(AH4:BD4)</f>
        <v>136.19999999999999</v>
      </c>
      <c r="BG4" s="35"/>
      <c r="BH4" s="35"/>
      <c r="BI4" s="35"/>
      <c r="BJ4" s="35"/>
      <c r="BK4" s="35"/>
      <c r="BL4" s="35">
        <v>136.19999999999999</v>
      </c>
      <c r="BM4" s="35"/>
      <c r="BN4" s="35"/>
      <c r="BO4" s="35"/>
      <c r="BP4" s="35"/>
      <c r="BQ4" s="35">
        <v>0</v>
      </c>
      <c r="BR4" s="36"/>
    </row>
    <row r="5" spans="1:70" s="29" customFormat="1" x14ac:dyDescent="0.25">
      <c r="A5" s="29">
        <v>12</v>
      </c>
      <c r="B5" s="29" t="s">
        <v>79</v>
      </c>
      <c r="C5" s="29" t="s">
        <v>39</v>
      </c>
      <c r="D5" s="29" t="s">
        <v>71</v>
      </c>
      <c r="E5" s="29" t="s">
        <v>41</v>
      </c>
      <c r="F5" s="29">
        <v>4</v>
      </c>
      <c r="G5" s="29">
        <v>22</v>
      </c>
      <c r="H5" s="29">
        <v>17</v>
      </c>
      <c r="I5" s="29">
        <v>1</v>
      </c>
      <c r="J5" s="29">
        <v>1</v>
      </c>
      <c r="K5" s="29">
        <v>2</v>
      </c>
      <c r="L5" s="29">
        <v>1</v>
      </c>
      <c r="M5" s="29">
        <v>1</v>
      </c>
      <c r="O5" s="29">
        <v>1</v>
      </c>
      <c r="AH5" s="29">
        <v>34</v>
      </c>
      <c r="AI5" s="29">
        <v>17</v>
      </c>
      <c r="AJ5" s="29">
        <v>17</v>
      </c>
      <c r="AK5" s="29">
        <v>1.7</v>
      </c>
      <c r="AL5" s="29" t="s">
        <v>102</v>
      </c>
      <c r="AM5" s="29">
        <v>5.5</v>
      </c>
      <c r="AN5" s="29" t="s">
        <v>102</v>
      </c>
      <c r="AO5" s="29" t="s">
        <v>102</v>
      </c>
      <c r="AP5" s="29" t="s">
        <v>102</v>
      </c>
      <c r="AQ5" s="29" t="s">
        <v>102</v>
      </c>
      <c r="AR5" s="29" t="s">
        <v>102</v>
      </c>
      <c r="AS5" s="29" t="s">
        <v>102</v>
      </c>
      <c r="AT5" s="29" t="s">
        <v>102</v>
      </c>
      <c r="AU5" s="29" t="s">
        <v>102</v>
      </c>
      <c r="AV5" s="29" t="s">
        <v>102</v>
      </c>
      <c r="AW5" s="29" t="s">
        <v>102</v>
      </c>
      <c r="AX5" s="29" t="s">
        <v>102</v>
      </c>
      <c r="AY5" s="29" t="s">
        <v>102</v>
      </c>
      <c r="AZ5" s="29" t="s">
        <v>102</v>
      </c>
      <c r="BA5" s="29" t="s">
        <v>102</v>
      </c>
      <c r="BB5" s="29" t="s">
        <v>102</v>
      </c>
      <c r="BC5" s="29" t="s">
        <v>102</v>
      </c>
      <c r="BD5" s="29" t="s">
        <v>102</v>
      </c>
      <c r="BE5" s="29" t="s">
        <v>102</v>
      </c>
      <c r="BF5" s="19">
        <f>SUM(AH5:BD5)</f>
        <v>75.2</v>
      </c>
      <c r="BK5" s="29">
        <v>75.2</v>
      </c>
      <c r="BQ5" s="29">
        <v>0</v>
      </c>
    </row>
    <row r="6" spans="1:70" s="29" customFormat="1" x14ac:dyDescent="0.25">
      <c r="A6" s="29">
        <v>39</v>
      </c>
      <c r="B6" s="29" t="s">
        <v>114</v>
      </c>
      <c r="C6" s="29" t="s">
        <v>115</v>
      </c>
      <c r="BF6" s="19">
        <f>SUM(AH6:BD6)</f>
        <v>0</v>
      </c>
      <c r="BQ6" s="29">
        <v>147</v>
      </c>
    </row>
    <row r="7" spans="1:70" s="29" customFormat="1" x14ac:dyDescent="0.25">
      <c r="A7" s="29">
        <v>31</v>
      </c>
      <c r="B7" s="29" t="s">
        <v>86</v>
      </c>
      <c r="C7" s="29" t="s">
        <v>115</v>
      </c>
      <c r="D7" s="29" t="s">
        <v>71</v>
      </c>
      <c r="E7" s="29" t="s">
        <v>41</v>
      </c>
      <c r="F7" s="29">
        <v>4</v>
      </c>
      <c r="G7" s="29">
        <v>16</v>
      </c>
      <c r="H7" s="29">
        <v>2</v>
      </c>
      <c r="I7" s="29">
        <v>1</v>
      </c>
      <c r="J7" s="29">
        <v>1</v>
      </c>
      <c r="T7" s="29">
        <v>1</v>
      </c>
      <c r="AH7" s="29" t="s">
        <v>102</v>
      </c>
      <c r="AI7" s="29" t="s">
        <v>102</v>
      </c>
      <c r="AJ7" s="29" t="s">
        <v>102</v>
      </c>
      <c r="AK7" s="29">
        <v>0</v>
      </c>
      <c r="AL7" s="29" t="s">
        <v>102</v>
      </c>
      <c r="AM7" s="29" t="s">
        <v>102</v>
      </c>
      <c r="AN7" s="29" t="s">
        <v>102</v>
      </c>
      <c r="AO7" s="29" t="s">
        <v>102</v>
      </c>
      <c r="AP7" s="29" t="s">
        <v>102</v>
      </c>
      <c r="AQ7" s="29" t="s">
        <v>102</v>
      </c>
      <c r="AR7" s="29">
        <v>40</v>
      </c>
      <c r="AS7" s="29" t="s">
        <v>102</v>
      </c>
      <c r="AT7" s="29" t="s">
        <v>102</v>
      </c>
      <c r="AU7" s="29" t="s">
        <v>102</v>
      </c>
      <c r="AV7" s="29" t="s">
        <v>102</v>
      </c>
      <c r="AW7" s="29" t="s">
        <v>102</v>
      </c>
      <c r="AX7" s="29" t="s">
        <v>102</v>
      </c>
      <c r="AY7" s="29" t="s">
        <v>102</v>
      </c>
      <c r="AZ7" s="29" t="s">
        <v>102</v>
      </c>
      <c r="BA7" s="29" t="s">
        <v>102</v>
      </c>
      <c r="BB7" s="29" t="s">
        <v>102</v>
      </c>
      <c r="BC7" s="29" t="s">
        <v>102</v>
      </c>
      <c r="BD7" s="29" t="s">
        <v>102</v>
      </c>
      <c r="BE7" s="29" t="s">
        <v>102</v>
      </c>
      <c r="BF7" s="19">
        <f>SUM(AH7:BD7)</f>
        <v>40</v>
      </c>
      <c r="BI7" s="29">
        <v>40</v>
      </c>
      <c r="BQ7" s="29">
        <v>0</v>
      </c>
    </row>
    <row r="8" spans="1:70" x14ac:dyDescent="0.25">
      <c r="B8" s="123" t="s">
        <v>90</v>
      </c>
    </row>
    <row r="9" spans="1:70" s="29" customFormat="1" x14ac:dyDescent="0.25">
      <c r="A9" s="29">
        <v>9</v>
      </c>
      <c r="B9" s="29" t="s">
        <v>82</v>
      </c>
      <c r="C9" s="29" t="s">
        <v>73</v>
      </c>
      <c r="D9" s="29" t="s">
        <v>90</v>
      </c>
      <c r="E9" s="29" t="s">
        <v>89</v>
      </c>
      <c r="F9" s="29">
        <v>9</v>
      </c>
      <c r="G9" s="29">
        <v>23</v>
      </c>
      <c r="H9" s="29">
        <v>1</v>
      </c>
      <c r="I9" s="29">
        <v>1</v>
      </c>
      <c r="J9" s="29">
        <v>1</v>
      </c>
      <c r="L9" s="29">
        <v>2</v>
      </c>
      <c r="AH9" s="29" t="s">
        <v>102</v>
      </c>
      <c r="AI9" s="29">
        <v>2</v>
      </c>
      <c r="AJ9" s="29" t="s">
        <v>102</v>
      </c>
      <c r="AK9" s="29">
        <v>0</v>
      </c>
      <c r="AL9" s="29" t="s">
        <v>102</v>
      </c>
      <c r="AM9" s="29" t="s">
        <v>102</v>
      </c>
      <c r="AN9" s="29" t="s">
        <v>102</v>
      </c>
      <c r="AO9" s="29" t="s">
        <v>102</v>
      </c>
      <c r="AP9" s="29" t="s">
        <v>102</v>
      </c>
      <c r="AQ9" s="29" t="s">
        <v>102</v>
      </c>
      <c r="AR9" s="29" t="s">
        <v>102</v>
      </c>
      <c r="AS9" s="29" t="s">
        <v>102</v>
      </c>
      <c r="AT9" s="29" t="s">
        <v>102</v>
      </c>
      <c r="AU9" s="29" t="s">
        <v>102</v>
      </c>
      <c r="AV9" s="29" t="s">
        <v>102</v>
      </c>
      <c r="AW9" s="29" t="s">
        <v>102</v>
      </c>
      <c r="AX9" s="29" t="s">
        <v>102</v>
      </c>
      <c r="AY9" s="29" t="s">
        <v>102</v>
      </c>
      <c r="AZ9" s="29" t="s">
        <v>102</v>
      </c>
      <c r="BA9" s="29" t="s">
        <v>102</v>
      </c>
      <c r="BB9" s="29" t="s">
        <v>102</v>
      </c>
      <c r="BC9" s="29" t="s">
        <v>102</v>
      </c>
      <c r="BD9" s="29" t="s">
        <v>102</v>
      </c>
      <c r="BE9" s="29" t="s">
        <v>102</v>
      </c>
      <c r="BF9" s="29">
        <v>2</v>
      </c>
      <c r="BL9" s="29">
        <v>2</v>
      </c>
    </row>
    <row r="10" spans="1:70" s="29" customFormat="1" x14ac:dyDescent="0.25">
      <c r="A10" s="29">
        <v>9</v>
      </c>
      <c r="B10" s="29" t="s">
        <v>88</v>
      </c>
      <c r="C10" s="29" t="s">
        <v>74</v>
      </c>
      <c r="D10" s="29" t="s">
        <v>90</v>
      </c>
      <c r="E10" s="29" t="s">
        <v>89</v>
      </c>
      <c r="F10" s="29">
        <v>12</v>
      </c>
      <c r="J10" s="29">
        <v>0</v>
      </c>
      <c r="AH10" s="29" t="s">
        <v>102</v>
      </c>
      <c r="AI10" s="29" t="s">
        <v>102</v>
      </c>
      <c r="AJ10" s="29" t="s">
        <v>102</v>
      </c>
      <c r="AK10" s="29">
        <v>0</v>
      </c>
      <c r="AL10" s="29" t="s">
        <v>102</v>
      </c>
      <c r="AM10" s="29" t="s">
        <v>102</v>
      </c>
      <c r="AN10" s="29" t="s">
        <v>102</v>
      </c>
      <c r="AO10" s="29" t="s">
        <v>102</v>
      </c>
      <c r="AP10" s="29" t="s">
        <v>102</v>
      </c>
      <c r="AQ10" s="29" t="s">
        <v>102</v>
      </c>
      <c r="AR10" s="29" t="s">
        <v>102</v>
      </c>
      <c r="AS10" s="29" t="s">
        <v>102</v>
      </c>
      <c r="AT10" s="29" t="s">
        <v>102</v>
      </c>
      <c r="AU10" s="29" t="s">
        <v>102</v>
      </c>
      <c r="AV10" s="29" t="s">
        <v>102</v>
      </c>
      <c r="AW10" s="29" t="s">
        <v>102</v>
      </c>
      <c r="AX10" s="29" t="s">
        <v>102</v>
      </c>
      <c r="AY10" s="29" t="s">
        <v>102</v>
      </c>
      <c r="AZ10" s="29" t="s">
        <v>102</v>
      </c>
      <c r="BA10" s="29" t="s">
        <v>102</v>
      </c>
      <c r="BB10" s="29" t="s">
        <v>102</v>
      </c>
      <c r="BC10" s="29" t="s">
        <v>102</v>
      </c>
      <c r="BD10" s="29" t="s">
        <v>102</v>
      </c>
      <c r="BE10" s="29" t="s">
        <v>102</v>
      </c>
      <c r="BF10" s="29">
        <v>0</v>
      </c>
      <c r="BL10" s="29">
        <v>0</v>
      </c>
    </row>
    <row r="11" spans="1:70" s="29" customFormat="1" x14ac:dyDescent="0.25">
      <c r="A11" s="29">
        <v>10</v>
      </c>
      <c r="B11" s="29" t="s">
        <v>87</v>
      </c>
      <c r="C11" s="29" t="s">
        <v>74</v>
      </c>
      <c r="D11" s="29" t="s">
        <v>90</v>
      </c>
      <c r="E11" s="29" t="s">
        <v>89</v>
      </c>
      <c r="F11" s="29">
        <v>12</v>
      </c>
    </row>
  </sheetData>
  <mergeCells count="10">
    <mergeCell ref="AH1:AJ1"/>
    <mergeCell ref="BF1:BF2"/>
    <mergeCell ref="E1:E2"/>
    <mergeCell ref="F1:F2"/>
    <mergeCell ref="A1:A2"/>
    <mergeCell ref="B1:B2"/>
    <mergeCell ref="C1:C2"/>
    <mergeCell ref="D1:D2"/>
    <mergeCell ref="G1:J1"/>
    <mergeCell ref="K1:AG1"/>
  </mergeCells>
  <phoneticPr fontId="4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1"/>
  <dimension ref="A1:F179"/>
  <sheetViews>
    <sheetView topLeftCell="B16" workbookViewId="0">
      <selection activeCell="G16" sqref="G16"/>
    </sheetView>
  </sheetViews>
  <sheetFormatPr defaultRowHeight="13.2" x14ac:dyDescent="0.25"/>
  <cols>
    <col min="1" max="1" width="11.44140625" customWidth="1"/>
    <col min="2" max="2" width="40.109375" customWidth="1"/>
  </cols>
  <sheetData>
    <row r="1" spans="2:4" x14ac:dyDescent="0.25">
      <c r="B1" t="s">
        <v>244</v>
      </c>
    </row>
    <row r="6" spans="2:4" x14ac:dyDescent="0.25">
      <c r="B6" t="s">
        <v>237</v>
      </c>
      <c r="C6" t="s">
        <v>239</v>
      </c>
    </row>
    <row r="7" spans="2:4" x14ac:dyDescent="0.25">
      <c r="B7" t="s">
        <v>241</v>
      </c>
    </row>
    <row r="9" spans="2:4" x14ac:dyDescent="0.25">
      <c r="B9" t="s">
        <v>236</v>
      </c>
      <c r="C9" t="s">
        <v>240</v>
      </c>
    </row>
    <row r="10" spans="2:4" x14ac:dyDescent="0.25">
      <c r="B10" t="s">
        <v>241</v>
      </c>
    </row>
    <row r="12" spans="2:4" x14ac:dyDescent="0.25">
      <c r="B12" t="s">
        <v>235</v>
      </c>
      <c r="C12">
        <v>312</v>
      </c>
      <c r="D12">
        <v>300</v>
      </c>
    </row>
    <row r="14" spans="2:4" x14ac:dyDescent="0.25">
      <c r="B14" t="s">
        <v>242</v>
      </c>
      <c r="C14">
        <v>310</v>
      </c>
      <c r="D14">
        <v>450</v>
      </c>
    </row>
    <row r="16" spans="2:4" x14ac:dyDescent="0.25">
      <c r="B16" t="s">
        <v>188</v>
      </c>
      <c r="C16">
        <v>750</v>
      </c>
      <c r="D16">
        <v>900</v>
      </c>
    </row>
    <row r="18" spans="1:4" x14ac:dyDescent="0.25">
      <c r="B18" t="s">
        <v>243</v>
      </c>
      <c r="C18">
        <v>790</v>
      </c>
      <c r="D18">
        <v>900</v>
      </c>
    </row>
    <row r="24" spans="1:4" x14ac:dyDescent="0.25">
      <c r="A24" t="s">
        <v>157</v>
      </c>
    </row>
    <row r="25" spans="1:4" x14ac:dyDescent="0.25">
      <c r="A25" s="52">
        <v>40352</v>
      </c>
    </row>
    <row r="26" spans="1:4" x14ac:dyDescent="0.25">
      <c r="A26">
        <v>1</v>
      </c>
      <c r="B26" t="s">
        <v>111</v>
      </c>
    </row>
    <row r="27" spans="1:4" x14ac:dyDescent="0.25">
      <c r="A27">
        <v>2</v>
      </c>
      <c r="B27" t="s">
        <v>158</v>
      </c>
    </row>
    <row r="28" spans="1:4" x14ac:dyDescent="0.25">
      <c r="A28">
        <v>3</v>
      </c>
    </row>
    <row r="29" spans="1:4" x14ac:dyDescent="0.25">
      <c r="A29">
        <v>4</v>
      </c>
    </row>
    <row r="30" spans="1:4" x14ac:dyDescent="0.25">
      <c r="A30">
        <v>5</v>
      </c>
    </row>
    <row r="32" spans="1:4" x14ac:dyDescent="0.25">
      <c r="A32" s="52"/>
    </row>
    <row r="33" spans="1:4" x14ac:dyDescent="0.25">
      <c r="A33" s="52">
        <v>40070</v>
      </c>
      <c r="B33" t="s">
        <v>136</v>
      </c>
    </row>
    <row r="34" spans="1:4" x14ac:dyDescent="0.25">
      <c r="B34" t="s">
        <v>122</v>
      </c>
    </row>
    <row r="35" spans="1:4" x14ac:dyDescent="0.25">
      <c r="B35" t="s">
        <v>123</v>
      </c>
    </row>
    <row r="36" spans="1:4" ht="13.8" thickBot="1" x14ac:dyDescent="0.3">
      <c r="B36" s="59"/>
    </row>
    <row r="37" spans="1:4" ht="31.8" thickBot="1" x14ac:dyDescent="0.35">
      <c r="A37" s="82" t="s">
        <v>161</v>
      </c>
      <c r="B37" s="83" t="s">
        <v>162</v>
      </c>
      <c r="C37" s="84" t="s">
        <v>163</v>
      </c>
      <c r="D37" s="84" t="s">
        <v>120</v>
      </c>
    </row>
    <row r="38" spans="1:4" ht="63" thickBot="1" x14ac:dyDescent="0.35">
      <c r="A38" s="80">
        <v>1</v>
      </c>
      <c r="B38" s="85" t="s">
        <v>131</v>
      </c>
      <c r="C38" s="79" t="s">
        <v>174</v>
      </c>
      <c r="D38" s="79">
        <v>1.5</v>
      </c>
    </row>
    <row r="39" spans="1:4" ht="31.8" thickBot="1" x14ac:dyDescent="0.35">
      <c r="A39" s="80">
        <v>2</v>
      </c>
      <c r="B39" s="85" t="s">
        <v>132</v>
      </c>
      <c r="C39" s="79" t="s">
        <v>164</v>
      </c>
      <c r="D39" s="79">
        <v>1</v>
      </c>
    </row>
    <row r="40" spans="1:4" ht="16.2" thickBot="1" x14ac:dyDescent="0.35">
      <c r="A40" s="80">
        <v>3</v>
      </c>
      <c r="B40" s="85" t="s">
        <v>124</v>
      </c>
      <c r="C40" s="79" t="s">
        <v>165</v>
      </c>
      <c r="D40" s="79">
        <v>0.5</v>
      </c>
    </row>
    <row r="41" spans="1:4" ht="16.2" thickBot="1" x14ac:dyDescent="0.35">
      <c r="A41" s="80">
        <v>4</v>
      </c>
      <c r="B41" s="85" t="s">
        <v>125</v>
      </c>
      <c r="C41" s="79" t="s">
        <v>165</v>
      </c>
      <c r="D41" s="79">
        <v>0.5</v>
      </c>
    </row>
    <row r="42" spans="1:4" ht="16.2" thickBot="1" x14ac:dyDescent="0.35">
      <c r="A42" s="80">
        <v>5</v>
      </c>
      <c r="B42" s="85" t="s">
        <v>126</v>
      </c>
      <c r="C42" s="79" t="s">
        <v>165</v>
      </c>
      <c r="D42" s="79">
        <v>0.25</v>
      </c>
    </row>
    <row r="43" spans="1:4" ht="16.2" thickBot="1" x14ac:dyDescent="0.35">
      <c r="A43" s="80">
        <v>6</v>
      </c>
      <c r="B43" s="85" t="s">
        <v>134</v>
      </c>
      <c r="C43" s="79" t="s">
        <v>165</v>
      </c>
      <c r="D43" s="79">
        <v>1</v>
      </c>
    </row>
    <row r="44" spans="1:4" ht="16.2" thickBot="1" x14ac:dyDescent="0.35">
      <c r="A44" s="80">
        <v>7</v>
      </c>
      <c r="B44" s="85" t="s">
        <v>166</v>
      </c>
      <c r="C44" s="79" t="s">
        <v>165</v>
      </c>
      <c r="D44" s="79">
        <v>0.5</v>
      </c>
    </row>
    <row r="45" spans="1:4" ht="16.2" thickBot="1" x14ac:dyDescent="0.35">
      <c r="A45" s="80">
        <v>8</v>
      </c>
      <c r="B45" s="85" t="s">
        <v>135</v>
      </c>
      <c r="C45" s="79" t="s">
        <v>165</v>
      </c>
      <c r="D45" s="79">
        <v>0.5</v>
      </c>
    </row>
    <row r="46" spans="1:4" ht="31.8" thickBot="1" x14ac:dyDescent="0.35">
      <c r="A46" s="80">
        <v>9</v>
      </c>
      <c r="B46" s="85" t="s">
        <v>167</v>
      </c>
      <c r="C46" s="79" t="s">
        <v>168</v>
      </c>
      <c r="D46" s="79">
        <v>0.5</v>
      </c>
    </row>
    <row r="47" spans="1:4" ht="31.8" thickBot="1" x14ac:dyDescent="0.35">
      <c r="A47" s="80">
        <v>10</v>
      </c>
      <c r="B47" s="85" t="s">
        <v>169</v>
      </c>
      <c r="C47" s="79" t="s">
        <v>168</v>
      </c>
      <c r="D47" s="79">
        <v>0.25</v>
      </c>
    </row>
    <row r="48" spans="1:4" ht="31.8" thickBot="1" x14ac:dyDescent="0.35">
      <c r="A48" s="80">
        <v>11</v>
      </c>
      <c r="B48" s="85" t="s">
        <v>133</v>
      </c>
      <c r="C48" s="79" t="s">
        <v>170</v>
      </c>
      <c r="D48" s="79">
        <v>0.5</v>
      </c>
    </row>
    <row r="49" spans="1:5" ht="31.8" thickBot="1" x14ac:dyDescent="0.35">
      <c r="A49" s="80">
        <v>12</v>
      </c>
      <c r="B49" s="85" t="s">
        <v>171</v>
      </c>
      <c r="C49" s="79" t="s">
        <v>170</v>
      </c>
      <c r="D49" s="79">
        <v>0.25</v>
      </c>
    </row>
    <row r="50" spans="1:5" ht="31.8" thickBot="1" x14ac:dyDescent="0.35">
      <c r="A50" s="80">
        <v>13</v>
      </c>
      <c r="B50" s="85" t="s">
        <v>172</v>
      </c>
      <c r="C50" s="79" t="s">
        <v>170</v>
      </c>
      <c r="D50" s="79">
        <v>0.25</v>
      </c>
    </row>
    <row r="51" spans="1:5" ht="31.8" thickBot="1" x14ac:dyDescent="0.35">
      <c r="A51" s="80">
        <v>14</v>
      </c>
      <c r="B51" s="85" t="s">
        <v>173</v>
      </c>
      <c r="C51" s="79" t="s">
        <v>170</v>
      </c>
      <c r="D51" s="79"/>
    </row>
    <row r="52" spans="1:5" ht="16.2" thickBot="1" x14ac:dyDescent="0.35">
      <c r="A52" s="80"/>
      <c r="B52" s="85" t="s">
        <v>78</v>
      </c>
      <c r="C52" s="79"/>
      <c r="D52" s="79">
        <v>7.5</v>
      </c>
    </row>
    <row r="54" spans="1:5" ht="15.6" x14ac:dyDescent="0.3">
      <c r="A54" s="90">
        <v>40372</v>
      </c>
      <c r="B54" s="86" t="s">
        <v>192</v>
      </c>
    </row>
    <row r="55" spans="1:5" x14ac:dyDescent="0.25">
      <c r="B55" s="77" t="s">
        <v>159</v>
      </c>
      <c r="C55" s="75" t="s">
        <v>115</v>
      </c>
      <c r="D55" s="18">
        <v>1</v>
      </c>
    </row>
    <row r="56" spans="1:5" x14ac:dyDescent="0.25">
      <c r="B56" s="76" t="s">
        <v>75</v>
      </c>
      <c r="C56" s="40" t="s">
        <v>74</v>
      </c>
      <c r="D56" s="18">
        <v>3</v>
      </c>
      <c r="E56" t="s">
        <v>177</v>
      </c>
    </row>
    <row r="57" spans="1:5" x14ac:dyDescent="0.25">
      <c r="B57" s="61" t="s">
        <v>95</v>
      </c>
      <c r="C57" s="41" t="s">
        <v>39</v>
      </c>
      <c r="D57" s="18">
        <v>7</v>
      </c>
      <c r="E57" t="s">
        <v>178</v>
      </c>
    </row>
    <row r="58" spans="1:5" x14ac:dyDescent="0.25">
      <c r="B58" s="61" t="s">
        <v>81</v>
      </c>
      <c r="C58" s="41" t="s">
        <v>39</v>
      </c>
      <c r="D58" s="18">
        <v>7</v>
      </c>
      <c r="E58" t="s">
        <v>160</v>
      </c>
    </row>
    <row r="59" spans="1:5" x14ac:dyDescent="0.25">
      <c r="B59" s="53" t="s">
        <v>116</v>
      </c>
      <c r="C59" s="41" t="s">
        <v>39</v>
      </c>
      <c r="D59" s="29">
        <v>9</v>
      </c>
      <c r="E59" s="43" t="s">
        <v>179</v>
      </c>
    </row>
    <row r="60" spans="1:5" x14ac:dyDescent="0.25">
      <c r="B60" s="61" t="s">
        <v>110</v>
      </c>
      <c r="C60" s="41" t="s">
        <v>39</v>
      </c>
      <c r="D60" s="29">
        <v>9</v>
      </c>
      <c r="E60" s="43" t="s">
        <v>180</v>
      </c>
    </row>
    <row r="61" spans="1:5" x14ac:dyDescent="0.25">
      <c r="B61" s="61" t="s">
        <v>127</v>
      </c>
      <c r="C61" s="41" t="s">
        <v>39</v>
      </c>
      <c r="D61" s="29">
        <v>9</v>
      </c>
      <c r="E61" s="43" t="s">
        <v>181</v>
      </c>
    </row>
    <row r="62" spans="1:5" x14ac:dyDescent="0.25">
      <c r="B62" s="54" t="s">
        <v>117</v>
      </c>
      <c r="C62" s="75" t="s">
        <v>115</v>
      </c>
      <c r="D62" s="29">
        <v>9</v>
      </c>
      <c r="E62" s="43" t="s">
        <v>179</v>
      </c>
    </row>
    <row r="64" spans="1:5" x14ac:dyDescent="0.25">
      <c r="B64" t="s">
        <v>182</v>
      </c>
    </row>
    <row r="65" spans="1:3" x14ac:dyDescent="0.25">
      <c r="A65">
        <v>1</v>
      </c>
      <c r="B65" t="s">
        <v>123</v>
      </c>
    </row>
    <row r="66" spans="1:3" x14ac:dyDescent="0.25">
      <c r="A66">
        <v>2</v>
      </c>
      <c r="B66" t="s">
        <v>183</v>
      </c>
    </row>
    <row r="67" spans="1:3" ht="18" x14ac:dyDescent="0.35">
      <c r="A67" s="81">
        <v>3</v>
      </c>
      <c r="B67" t="s">
        <v>184</v>
      </c>
    </row>
    <row r="68" spans="1:3" ht="18" x14ac:dyDescent="0.35">
      <c r="A68" s="81"/>
    </row>
    <row r="69" spans="1:3" ht="18" x14ac:dyDescent="0.35">
      <c r="A69" s="81"/>
      <c r="B69" t="s">
        <v>186</v>
      </c>
    </row>
    <row r="70" spans="1:3" ht="18" x14ac:dyDescent="0.35">
      <c r="A70" s="81"/>
      <c r="B70" s="61" t="s">
        <v>85</v>
      </c>
    </row>
    <row r="71" spans="1:3" x14ac:dyDescent="0.25">
      <c r="A71" s="60"/>
      <c r="B71" s="53" t="s">
        <v>113</v>
      </c>
      <c r="C71" s="41"/>
    </row>
    <row r="73" spans="1:3" ht="15.6" x14ac:dyDescent="0.3">
      <c r="B73" s="86" t="s">
        <v>191</v>
      </c>
    </row>
    <row r="74" spans="1:3" x14ac:dyDescent="0.25">
      <c r="B74" s="61" t="s">
        <v>83</v>
      </c>
      <c r="C74" s="41" t="s">
        <v>39</v>
      </c>
    </row>
    <row r="75" spans="1:3" x14ac:dyDescent="0.25">
      <c r="B75" s="61" t="s">
        <v>84</v>
      </c>
      <c r="C75" s="41" t="s">
        <v>39</v>
      </c>
    </row>
    <row r="76" spans="1:3" x14ac:dyDescent="0.25">
      <c r="B76" s="61" t="s">
        <v>105</v>
      </c>
      <c r="C76" s="41" t="s">
        <v>39</v>
      </c>
    </row>
    <row r="77" spans="1:3" x14ac:dyDescent="0.25">
      <c r="B77" s="53"/>
      <c r="C77" s="41"/>
    </row>
    <row r="78" spans="1:3" x14ac:dyDescent="0.25">
      <c r="A78" s="90">
        <v>40381</v>
      </c>
      <c r="B78" s="89" t="s">
        <v>193</v>
      </c>
    </row>
    <row r="79" spans="1:3" x14ac:dyDescent="0.25">
      <c r="A79">
        <v>1</v>
      </c>
      <c r="B79" s="89" t="s">
        <v>194</v>
      </c>
    </row>
    <row r="80" spans="1:3" x14ac:dyDescent="0.25">
      <c r="A80">
        <v>2</v>
      </c>
      <c r="B80" s="89" t="s">
        <v>195</v>
      </c>
    </row>
    <row r="81" spans="1:6" x14ac:dyDescent="0.25">
      <c r="B81" s="78"/>
    </row>
    <row r="82" spans="1:6" x14ac:dyDescent="0.25">
      <c r="B82" s="61" t="s">
        <v>109</v>
      </c>
    </row>
    <row r="83" spans="1:6" x14ac:dyDescent="0.25">
      <c r="B83" s="23" t="s">
        <v>98</v>
      </c>
    </row>
    <row r="84" spans="1:6" x14ac:dyDescent="0.25">
      <c r="B84" t="s">
        <v>200</v>
      </c>
    </row>
    <row r="86" spans="1:6" x14ac:dyDescent="0.25">
      <c r="A86" s="52"/>
      <c r="B86" t="s">
        <v>199</v>
      </c>
    </row>
    <row r="87" spans="1:6" x14ac:dyDescent="0.25">
      <c r="B87" s="54" t="s">
        <v>196</v>
      </c>
      <c r="C87" s="41" t="s">
        <v>115</v>
      </c>
      <c r="D87" s="18" t="s">
        <v>71</v>
      </c>
      <c r="E87" s="18" t="s">
        <v>41</v>
      </c>
      <c r="F87" s="55" t="s">
        <v>119</v>
      </c>
    </row>
    <row r="88" spans="1:6" ht="15.6" x14ac:dyDescent="0.3">
      <c r="B88" s="64"/>
    </row>
    <row r="89" spans="1:6" ht="15.6" x14ac:dyDescent="0.3">
      <c r="B89" s="64"/>
    </row>
    <row r="91" spans="1:6" x14ac:dyDescent="0.25">
      <c r="B91" s="63"/>
    </row>
    <row r="92" spans="1:6" ht="15.6" x14ac:dyDescent="0.3">
      <c r="B92" s="64"/>
    </row>
    <row r="93" spans="1:6" x14ac:dyDescent="0.25">
      <c r="A93" s="52"/>
    </row>
    <row r="94" spans="1:6" ht="15.6" x14ac:dyDescent="0.3">
      <c r="A94" s="52"/>
      <c r="B94" s="66"/>
    </row>
    <row r="95" spans="1:6" x14ac:dyDescent="0.25">
      <c r="B95" s="41"/>
    </row>
    <row r="96" spans="1:6" x14ac:dyDescent="0.25">
      <c r="B96" s="41" t="s">
        <v>214</v>
      </c>
    </row>
    <row r="97" spans="1:2" x14ac:dyDescent="0.25">
      <c r="B97" s="41" t="s">
        <v>211</v>
      </c>
    </row>
    <row r="98" spans="1:2" x14ac:dyDescent="0.25">
      <c r="B98" s="41" t="s">
        <v>215</v>
      </c>
    </row>
    <row r="99" spans="1:2" x14ac:dyDescent="0.25">
      <c r="B99" s="68" t="s">
        <v>216</v>
      </c>
    </row>
    <row r="100" spans="1:2" x14ac:dyDescent="0.25">
      <c r="A100" s="52"/>
      <c r="B100" s="68" t="s">
        <v>217</v>
      </c>
    </row>
    <row r="101" spans="1:2" x14ac:dyDescent="0.25">
      <c r="B101" s="41"/>
    </row>
    <row r="102" spans="1:2" x14ac:dyDescent="0.25">
      <c r="B102" s="41"/>
    </row>
    <row r="104" spans="1:2" ht="15.6" x14ac:dyDescent="0.3">
      <c r="B104" s="66"/>
    </row>
    <row r="105" spans="1:2" x14ac:dyDescent="0.25">
      <c r="B105" s="41"/>
    </row>
    <row r="106" spans="1:2" x14ac:dyDescent="0.25">
      <c r="B106" s="41"/>
    </row>
    <row r="107" spans="1:2" x14ac:dyDescent="0.25">
      <c r="A107" s="18"/>
      <c r="B107" s="54"/>
    </row>
    <row r="108" spans="1:2" ht="13.8" thickBot="1" x14ac:dyDescent="0.3">
      <c r="B108" s="62"/>
    </row>
    <row r="109" spans="1:2" x14ac:dyDescent="0.25">
      <c r="B109" s="69"/>
    </row>
    <row r="110" spans="1:2" x14ac:dyDescent="0.25">
      <c r="B110" s="62"/>
    </row>
    <row r="112" spans="1:2" x14ac:dyDescent="0.25">
      <c r="B112" s="41"/>
    </row>
    <row r="121" spans="1:5" x14ac:dyDescent="0.25">
      <c r="A121" s="52"/>
      <c r="B121" s="54"/>
      <c r="E121" t="s">
        <v>130</v>
      </c>
    </row>
    <row r="122" spans="1:5" x14ac:dyDescent="0.25">
      <c r="B122" s="62"/>
    </row>
    <row r="123" spans="1:5" x14ac:dyDescent="0.25">
      <c r="E123">
        <f>C123-D123</f>
        <v>0</v>
      </c>
    </row>
    <row r="124" spans="1:5" x14ac:dyDescent="0.25">
      <c r="E124">
        <f>C124-D124</f>
        <v>0</v>
      </c>
    </row>
    <row r="125" spans="1:5" x14ac:dyDescent="0.25">
      <c r="E125">
        <f>C125-D125</f>
        <v>0</v>
      </c>
    </row>
    <row r="126" spans="1:5" x14ac:dyDescent="0.25">
      <c r="B126" s="71"/>
    </row>
    <row r="130" spans="1:1" x14ac:dyDescent="0.25">
      <c r="A130" s="52"/>
    </row>
    <row r="151" spans="1:2" x14ac:dyDescent="0.25">
      <c r="B151" t="s">
        <v>137</v>
      </c>
    </row>
    <row r="152" spans="1:2" x14ac:dyDescent="0.25">
      <c r="B152" t="s">
        <v>141</v>
      </c>
    </row>
    <row r="153" spans="1:2" x14ac:dyDescent="0.25">
      <c r="A153" s="18">
        <v>5</v>
      </c>
      <c r="B153" s="54" t="s">
        <v>118</v>
      </c>
    </row>
    <row r="154" spans="1:2" ht="13.8" thickBot="1" x14ac:dyDescent="0.3">
      <c r="B154" s="62" t="s">
        <v>109</v>
      </c>
    </row>
    <row r="155" spans="1:2" ht="24" x14ac:dyDescent="0.25">
      <c r="A155">
        <v>6</v>
      </c>
      <c r="B155" s="69" t="s">
        <v>128</v>
      </c>
    </row>
    <row r="156" spans="1:2" x14ac:dyDescent="0.25">
      <c r="B156" s="62" t="s">
        <v>129</v>
      </c>
    </row>
    <row r="157" spans="1:2" x14ac:dyDescent="0.25">
      <c r="B157" t="s">
        <v>142</v>
      </c>
    </row>
    <row r="164" spans="1:2" x14ac:dyDescent="0.25">
      <c r="B164" t="s">
        <v>138</v>
      </c>
    </row>
    <row r="165" spans="1:2" x14ac:dyDescent="0.25">
      <c r="B165" t="s">
        <v>139</v>
      </c>
    </row>
    <row r="166" spans="1:2" x14ac:dyDescent="0.25">
      <c r="B166" t="s">
        <v>140</v>
      </c>
    </row>
    <row r="168" spans="1:2" x14ac:dyDescent="0.25">
      <c r="B168" t="s">
        <v>143</v>
      </c>
    </row>
    <row r="169" spans="1:2" x14ac:dyDescent="0.25">
      <c r="B169" t="s">
        <v>144</v>
      </c>
    </row>
    <row r="171" spans="1:2" x14ac:dyDescent="0.25">
      <c r="A171" s="52">
        <v>40072</v>
      </c>
      <c r="B171" t="s">
        <v>145</v>
      </c>
    </row>
    <row r="172" spans="1:2" x14ac:dyDescent="0.25">
      <c r="B172" t="s">
        <v>146</v>
      </c>
    </row>
    <row r="173" spans="1:2" x14ac:dyDescent="0.25">
      <c r="B173" t="s">
        <v>147</v>
      </c>
    </row>
    <row r="174" spans="1:2" x14ac:dyDescent="0.25">
      <c r="B174" t="s">
        <v>148</v>
      </c>
    </row>
    <row r="176" spans="1:2" x14ac:dyDescent="0.25">
      <c r="A176" s="52">
        <v>40090</v>
      </c>
      <c r="B176" t="s">
        <v>150</v>
      </c>
    </row>
    <row r="177" spans="1:3" x14ac:dyDescent="0.25">
      <c r="B177" t="s">
        <v>152</v>
      </c>
    </row>
    <row r="178" spans="1:3" x14ac:dyDescent="0.25">
      <c r="A178" s="74"/>
      <c r="B178" s="74" t="s">
        <v>156</v>
      </c>
      <c r="C178" s="74"/>
    </row>
    <row r="179" spans="1:3" x14ac:dyDescent="0.25">
      <c r="B179" t="s">
        <v>151</v>
      </c>
    </row>
  </sheetData>
  <phoneticPr fontId="4" type="noConversion"/>
  <hyperlinks>
    <hyperlink ref="B36" r:id="rId1" display="http://www.intuit.ru/catalog/internet/webdesign/" xr:uid="{00000000-0004-0000-1400-000000000000}"/>
  </hyperlinks>
  <pageMargins left="0.75" right="0.75" top="1" bottom="1" header="0.5" footer="0.5"/>
  <pageSetup paperSize="9" orientation="portrait" r:id="rId2"/>
  <headerFooter alignWithMargins="0"/>
  <drawing r:id="rId3"/>
  <legacyDrawing r:id="rId4"/>
  <oleObjects>
    <mc:AlternateContent xmlns:mc="http://schemas.openxmlformats.org/markup-compatibility/2006">
      <mc:Choice Requires="x14">
        <oleObject progId="Word.Document.8" shapeId="66563" r:id="rId5">
          <objectPr defaultSize="0" r:id="rId6">
            <anchor moveWithCells="1">
              <from>
                <xdr:col>5</xdr:col>
                <xdr:colOff>533400</xdr:colOff>
                <xdr:row>24</xdr:row>
                <xdr:rowOff>22860</xdr:rowOff>
              </from>
              <to>
                <xdr:col>13</xdr:col>
                <xdr:colOff>0</xdr:colOff>
                <xdr:row>63</xdr:row>
                <xdr:rowOff>152400</xdr:rowOff>
              </to>
            </anchor>
          </objectPr>
        </oleObject>
      </mc:Choice>
      <mc:Fallback>
        <oleObject progId="Word.Document.8" shapeId="66563" r:id="rId5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22</vt:i4>
      </vt:variant>
    </vt:vector>
  </HeadingPairs>
  <TitlesOfParts>
    <vt:vector size="22" baseType="lpstr">
      <vt:lpstr>Ставки-часы</vt:lpstr>
      <vt:lpstr>Вакансия_Бак</vt:lpstr>
      <vt:lpstr>Вакансия_Маг</vt:lpstr>
      <vt:lpstr>ФИТ</vt:lpstr>
      <vt:lpstr>ЗФ</vt:lpstr>
      <vt:lpstr>МСФ</vt:lpstr>
      <vt:lpstr>Магистры</vt:lpstr>
      <vt:lpstr>Магистры_ПИН</vt:lpstr>
      <vt:lpstr>Калабин А.Л.</vt:lpstr>
      <vt:lpstr>Биллиг В.А.</vt:lpstr>
      <vt:lpstr>Мальков А.А.</vt:lpstr>
      <vt:lpstr>Артемов И.Ю.</vt:lpstr>
      <vt:lpstr>Котлинский С.В.</vt:lpstr>
      <vt:lpstr>Прохныч А.Н.</vt:lpstr>
      <vt:lpstr>Югов И.О.</vt:lpstr>
      <vt:lpstr>Корнеева Е.И.</vt:lpstr>
      <vt:lpstr>Пиджакова Л.М</vt:lpstr>
      <vt:lpstr>Желтов С.А.</vt:lpstr>
      <vt:lpstr>Боброва Е.И.</vt:lpstr>
      <vt:lpstr>Контингент</vt:lpstr>
      <vt:lpstr>НЕТ соответствия</vt:lpstr>
      <vt:lpstr>Слова</vt:lpstr>
    </vt:vector>
  </TitlesOfParts>
  <Company>asdf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Алёна Комарова</dc:creator>
  <cp:lastModifiedBy>Алёна Комарова</cp:lastModifiedBy>
  <cp:lastPrinted>2015-04-15T14:49:38Z</cp:lastPrinted>
  <dcterms:created xsi:type="dcterms:W3CDTF">2008-07-03T11:13:51Z</dcterms:created>
  <dcterms:modified xsi:type="dcterms:W3CDTF">2023-04-15T19:50:04Z</dcterms:modified>
</cp:coreProperties>
</file>